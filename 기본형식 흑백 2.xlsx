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o365kumoh-my.sharepoint.com/personal/20231246_office_kumoh_ac_kr/Documents/바탕 화면/saju/"/>
    </mc:Choice>
  </mc:AlternateContent>
  <xr:revisionPtr revIDLastSave="34" documentId="11_6222511DC90195B1C21A161A6C9C04ECFD404BFD" xr6:coauthVersionLast="47" xr6:coauthVersionMax="47" xr10:uidLastSave="{4D6D3246-1720-482F-845A-1A9DE3F82C34}"/>
  <bookViews>
    <workbookView xWindow="8520" yWindow="2470" windowWidth="16460" windowHeight="11250" xr2:uid="{00000000-000D-0000-FFFF-FFFF00000000}"/>
  </bookViews>
  <sheets>
    <sheet name="심리흐름주기" sheetId="1" r:id="rId1"/>
    <sheet name="심리제물흐름주기" sheetId="6" r:id="rId2"/>
    <sheet name="심리명예" sheetId="7" r:id="rId3"/>
    <sheet name="흐름주기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8" l="1"/>
  <c r="D46" i="8"/>
  <c r="E46" i="8" s="1"/>
  <c r="E47" i="8" s="1"/>
  <c r="D47" i="7"/>
  <c r="D46" i="7"/>
  <c r="E46" i="7" s="1"/>
  <c r="E47" i="7" s="1"/>
  <c r="D47" i="6"/>
  <c r="D46" i="6"/>
  <c r="E46" i="6" s="1"/>
  <c r="E47" i="6" s="1"/>
  <c r="F46" i="8" l="1"/>
  <c r="F46" i="7"/>
  <c r="F46" i="6"/>
  <c r="C47" i="1"/>
  <c r="G46" i="8" l="1"/>
  <c r="G47" i="8" s="1"/>
  <c r="F47" i="8"/>
  <c r="H46" i="8"/>
  <c r="G46" i="7"/>
  <c r="G47" i="7" s="1"/>
  <c r="F47" i="7"/>
  <c r="H46" i="7"/>
  <c r="G46" i="6"/>
  <c r="G47" i="6" s="1"/>
  <c r="F47" i="6"/>
  <c r="H46" i="6"/>
  <c r="C46" i="1"/>
  <c r="I46" i="8" l="1"/>
  <c r="I47" i="8" s="1"/>
  <c r="H47" i="8"/>
  <c r="J46" i="8"/>
  <c r="I46" i="7"/>
  <c r="I47" i="7" s="1"/>
  <c r="H47" i="7"/>
  <c r="J46" i="7"/>
  <c r="I46" i="6"/>
  <c r="I47" i="6" s="1"/>
  <c r="H47" i="6"/>
  <c r="J46" i="6"/>
  <c r="D46" i="1"/>
  <c r="D47" i="1" s="1"/>
  <c r="E46" i="1"/>
  <c r="E47" i="1" s="1"/>
  <c r="K46" i="8" l="1"/>
  <c r="K47" i="8" s="1"/>
  <c r="J47" i="8"/>
  <c r="L46" i="8"/>
  <c r="K46" i="7"/>
  <c r="K47" i="7" s="1"/>
  <c r="J47" i="7"/>
  <c r="L46" i="7"/>
  <c r="K46" i="6"/>
  <c r="K47" i="6" s="1"/>
  <c r="J47" i="6"/>
  <c r="L46" i="6"/>
  <c r="F46" i="1"/>
  <c r="F47" i="1" s="1"/>
  <c r="G46" i="1"/>
  <c r="G47" i="1" s="1"/>
  <c r="M46" i="8" l="1"/>
  <c r="M47" i="8" s="1"/>
  <c r="L47" i="8"/>
  <c r="N46" i="8"/>
  <c r="M46" i="7"/>
  <c r="M47" i="7" s="1"/>
  <c r="L47" i="7"/>
  <c r="N46" i="7"/>
  <c r="M46" i="6"/>
  <c r="M47" i="6" s="1"/>
  <c r="L47" i="6"/>
  <c r="N46" i="6"/>
  <c r="H46" i="1"/>
  <c r="H47" i="1" s="1"/>
  <c r="I46" i="1"/>
  <c r="I47" i="1" s="1"/>
  <c r="O46" i="8" l="1"/>
  <c r="O47" i="8" s="1"/>
  <c r="N47" i="8"/>
  <c r="P46" i="8"/>
  <c r="O46" i="7"/>
  <c r="O47" i="7" s="1"/>
  <c r="N47" i="7"/>
  <c r="P46" i="7"/>
  <c r="O46" i="6"/>
  <c r="O47" i="6" s="1"/>
  <c r="N47" i="6"/>
  <c r="P46" i="6"/>
  <c r="J46" i="1"/>
  <c r="J47" i="1" s="1"/>
  <c r="K46" i="1"/>
  <c r="K47" i="1" s="1"/>
  <c r="Q46" i="8" l="1"/>
  <c r="Q47" i="8" s="1"/>
  <c r="P47" i="8"/>
  <c r="R46" i="8"/>
  <c r="Q46" i="7"/>
  <c r="Q47" i="7" s="1"/>
  <c r="P47" i="7"/>
  <c r="R46" i="7"/>
  <c r="Q46" i="6"/>
  <c r="Q47" i="6" s="1"/>
  <c r="P47" i="6"/>
  <c r="R46" i="6"/>
  <c r="L46" i="1"/>
  <c r="L47" i="1" s="1"/>
  <c r="M46" i="1"/>
  <c r="M47" i="1" s="1"/>
  <c r="S46" i="8" l="1"/>
  <c r="S47" i="8" s="1"/>
  <c r="R47" i="8"/>
  <c r="T46" i="8"/>
  <c r="S46" i="7"/>
  <c r="S47" i="7" s="1"/>
  <c r="R47" i="7"/>
  <c r="T46" i="7"/>
  <c r="S46" i="6"/>
  <c r="S47" i="6" s="1"/>
  <c r="R47" i="6"/>
  <c r="T46" i="6"/>
  <c r="N46" i="1"/>
  <c r="N47" i="1" s="1"/>
  <c r="O46" i="1"/>
  <c r="O47" i="1" s="1"/>
  <c r="U46" i="8" l="1"/>
  <c r="U47" i="8" s="1"/>
  <c r="T47" i="8"/>
  <c r="V46" i="8"/>
  <c r="U46" i="7"/>
  <c r="U47" i="7" s="1"/>
  <c r="T47" i="7"/>
  <c r="V46" i="7"/>
  <c r="U46" i="6"/>
  <c r="U47" i="6" s="1"/>
  <c r="T47" i="6"/>
  <c r="V46" i="6"/>
  <c r="P46" i="1"/>
  <c r="P47" i="1" s="1"/>
  <c r="Q46" i="1"/>
  <c r="Q47" i="1" s="1"/>
  <c r="W46" i="8" l="1"/>
  <c r="W47" i="8" s="1"/>
  <c r="V47" i="8"/>
  <c r="X46" i="8"/>
  <c r="W46" i="7"/>
  <c r="W47" i="7" s="1"/>
  <c r="V47" i="7"/>
  <c r="X46" i="7"/>
  <c r="W46" i="6"/>
  <c r="W47" i="6" s="1"/>
  <c r="V47" i="6"/>
  <c r="X46" i="6"/>
  <c r="R46" i="1"/>
  <c r="R47" i="1" s="1"/>
  <c r="S46" i="1"/>
  <c r="S47" i="1" s="1"/>
  <c r="Y46" i="8" l="1"/>
  <c r="Y47" i="8" s="1"/>
  <c r="X47" i="8"/>
  <c r="Z46" i="8"/>
  <c r="Y46" i="7"/>
  <c r="Y47" i="7" s="1"/>
  <c r="X47" i="7"/>
  <c r="Z46" i="7"/>
  <c r="Y46" i="6"/>
  <c r="Y47" i="6" s="1"/>
  <c r="X47" i="6"/>
  <c r="Z46" i="6"/>
  <c r="T46" i="1"/>
  <c r="T47" i="1" s="1"/>
  <c r="U46" i="1"/>
  <c r="U47" i="1" s="1"/>
  <c r="AA46" i="8" l="1"/>
  <c r="AA47" i="8" s="1"/>
  <c r="Z47" i="8"/>
  <c r="AB46" i="8"/>
  <c r="AA46" i="7"/>
  <c r="AA47" i="7" s="1"/>
  <c r="Z47" i="7"/>
  <c r="AB46" i="7"/>
  <c r="AA46" i="6"/>
  <c r="AA47" i="6" s="1"/>
  <c r="Z47" i="6"/>
  <c r="AB46" i="6"/>
  <c r="V46" i="1"/>
  <c r="V47" i="1" s="1"/>
  <c r="W46" i="1"/>
  <c r="W47" i="1" s="1"/>
  <c r="AC46" i="8" l="1"/>
  <c r="AC47" i="8" s="1"/>
  <c r="AB47" i="8"/>
  <c r="AD46" i="8"/>
  <c r="AC46" i="7"/>
  <c r="AC47" i="7" s="1"/>
  <c r="AB47" i="7"/>
  <c r="AD46" i="7"/>
  <c r="AC46" i="6"/>
  <c r="AC47" i="6" s="1"/>
  <c r="AB47" i="6"/>
  <c r="AD46" i="6"/>
  <c r="X46" i="1"/>
  <c r="X47" i="1" s="1"/>
  <c r="Y46" i="1"/>
  <c r="Y47" i="1" s="1"/>
  <c r="AE46" i="8" l="1"/>
  <c r="AE47" i="8" s="1"/>
  <c r="AD47" i="8"/>
  <c r="AF46" i="8"/>
  <c r="AE46" i="7"/>
  <c r="AE47" i="7" s="1"/>
  <c r="AD47" i="7"/>
  <c r="AF46" i="7"/>
  <c r="AE46" i="6"/>
  <c r="AE47" i="6" s="1"/>
  <c r="AD47" i="6"/>
  <c r="AF46" i="6"/>
  <c r="Z46" i="1"/>
  <c r="Z47" i="1" s="1"/>
  <c r="AA46" i="1"/>
  <c r="AA47" i="1" s="1"/>
  <c r="AG46" i="8" l="1"/>
  <c r="AF47" i="8"/>
  <c r="AH46" i="8"/>
  <c r="AG46" i="7"/>
  <c r="AF47" i="7"/>
  <c r="AH46" i="7"/>
  <c r="AG46" i="6"/>
  <c r="AF47" i="6"/>
  <c r="AH46" i="6"/>
  <c r="AB46" i="1"/>
  <c r="AB47" i="1" s="1"/>
  <c r="AC46" i="1"/>
  <c r="AC47" i="1" s="1"/>
  <c r="AH47" i="8" l="1"/>
  <c r="AJ46" i="8"/>
  <c r="AG47" i="8"/>
  <c r="AI46" i="8"/>
  <c r="AH47" i="7"/>
  <c r="AJ46" i="7"/>
  <c r="AG47" i="7"/>
  <c r="AI46" i="7"/>
  <c r="AH47" i="6"/>
  <c r="AJ46" i="6"/>
  <c r="AG47" i="6"/>
  <c r="AI46" i="6"/>
  <c r="AD46" i="1"/>
  <c r="AD47" i="1" s="1"/>
  <c r="AE46" i="1"/>
  <c r="AE47" i="1" s="1"/>
  <c r="AI47" i="8" l="1"/>
  <c r="AK46" i="8"/>
  <c r="AJ47" i="8"/>
  <c r="AL46" i="8"/>
  <c r="AI47" i="7"/>
  <c r="AK46" i="7"/>
  <c r="AJ47" i="7"/>
  <c r="AL46" i="7"/>
  <c r="AI47" i="6"/>
  <c r="AK46" i="6"/>
  <c r="AJ47" i="6"/>
  <c r="AL46" i="6"/>
  <c r="AF46" i="1"/>
  <c r="AG46" i="1"/>
  <c r="AL47" i="8" l="1"/>
  <c r="AN46" i="8"/>
  <c r="AN47" i="8" s="1"/>
  <c r="AK47" i="8"/>
  <c r="AM46" i="8"/>
  <c r="AL47" i="7"/>
  <c r="AN46" i="7"/>
  <c r="AN47" i="7" s="1"/>
  <c r="AK47" i="7"/>
  <c r="AM46" i="7"/>
  <c r="AL47" i="6"/>
  <c r="AN46" i="6"/>
  <c r="AN47" i="6" s="1"/>
  <c r="AK47" i="6"/>
  <c r="AM46" i="6"/>
  <c r="AG47" i="1"/>
  <c r="AI46" i="1"/>
  <c r="AF47" i="1"/>
  <c r="AH46" i="1"/>
  <c r="AM47" i="8" l="1"/>
  <c r="AO46" i="8"/>
  <c r="AO47" i="8" s="1"/>
  <c r="AM47" i="7"/>
  <c r="AO46" i="7"/>
  <c r="AO47" i="7" s="1"/>
  <c r="AM47" i="6"/>
  <c r="AO46" i="6"/>
  <c r="AO47" i="6" s="1"/>
  <c r="AJ46" i="1"/>
  <c r="AH47" i="1"/>
  <c r="AI47" i="1"/>
  <c r="AK46" i="1"/>
  <c r="AK47" i="1" l="1"/>
  <c r="AM46" i="1"/>
  <c r="AM47" i="1" s="1"/>
  <c r="AL46" i="1"/>
  <c r="AJ47" i="1"/>
  <c r="AN46" i="1" l="1"/>
  <c r="AN47" i="1" s="1"/>
  <c r="AL47" i="1"/>
</calcChain>
</file>

<file path=xl/sharedStrings.xml><?xml version="1.0" encoding="utf-8"?>
<sst xmlns="http://schemas.openxmlformats.org/spreadsheetml/2006/main" count="201" uniqueCount="42">
  <si>
    <t>이름</t>
    <phoneticPr fontId="1" type="noConversion"/>
  </si>
  <si>
    <t>대한</t>
    <phoneticPr fontId="1" type="noConversion"/>
  </si>
  <si>
    <t xml:space="preserve">입춘 </t>
    <phoneticPr fontId="1" type="noConversion"/>
  </si>
  <si>
    <t>우수</t>
    <phoneticPr fontId="1" type="noConversion"/>
  </si>
  <si>
    <t>경칩</t>
    <phoneticPr fontId="1" type="noConversion"/>
  </si>
  <si>
    <t>춘분</t>
    <phoneticPr fontId="1" type="noConversion"/>
  </si>
  <si>
    <t>청명</t>
    <phoneticPr fontId="1" type="noConversion"/>
  </si>
  <si>
    <t>곡우</t>
    <phoneticPr fontId="1" type="noConversion"/>
  </si>
  <si>
    <t>입하</t>
    <phoneticPr fontId="1" type="noConversion"/>
  </si>
  <si>
    <t>소만</t>
    <phoneticPr fontId="1" type="noConversion"/>
  </si>
  <si>
    <t>망종</t>
    <phoneticPr fontId="1" type="noConversion"/>
  </si>
  <si>
    <t>하지</t>
    <phoneticPr fontId="1" type="noConversion"/>
  </si>
  <si>
    <t>소서</t>
    <phoneticPr fontId="1" type="noConversion"/>
  </si>
  <si>
    <t>대서</t>
    <phoneticPr fontId="1" type="noConversion"/>
  </si>
  <si>
    <t>입추</t>
    <phoneticPr fontId="1" type="noConversion"/>
  </si>
  <si>
    <t>처서</t>
    <phoneticPr fontId="1" type="noConversion"/>
  </si>
  <si>
    <t>백로</t>
    <phoneticPr fontId="1" type="noConversion"/>
  </si>
  <si>
    <t>추분</t>
    <phoneticPr fontId="1" type="noConversion"/>
  </si>
  <si>
    <t>한로</t>
    <phoneticPr fontId="1" type="noConversion"/>
  </si>
  <si>
    <t>상강</t>
    <phoneticPr fontId="1" type="noConversion"/>
  </si>
  <si>
    <t>입동</t>
    <phoneticPr fontId="1" type="noConversion"/>
  </si>
  <si>
    <t>소설</t>
    <phoneticPr fontId="1" type="noConversion"/>
  </si>
  <si>
    <t>대설</t>
    <phoneticPr fontId="1" type="noConversion"/>
  </si>
  <si>
    <t>동지</t>
    <phoneticPr fontId="1" type="noConversion"/>
  </si>
  <si>
    <t xml:space="preserve">소한 </t>
    <phoneticPr fontId="1" type="noConversion"/>
  </si>
  <si>
    <t>입춘</t>
    <phoneticPr fontId="1" type="noConversion"/>
  </si>
  <si>
    <t>심리</t>
    <phoneticPr fontId="1" type="noConversion"/>
  </si>
  <si>
    <t>재물</t>
    <phoneticPr fontId="1" type="noConversion"/>
  </si>
  <si>
    <t>명예</t>
    <phoneticPr fontId="1" type="noConversion"/>
  </si>
  <si>
    <t>이름</t>
    <phoneticPr fontId="1" type="noConversion"/>
  </si>
  <si>
    <t>수단</t>
    <phoneticPr fontId="1" type="noConversion"/>
  </si>
  <si>
    <t>입춘의 년도</t>
    <phoneticPr fontId="1" type="noConversion"/>
  </si>
  <si>
    <t xml:space="preserve">수단 및 재물의 간격 년수 </t>
    <phoneticPr fontId="1" type="noConversion"/>
  </si>
  <si>
    <t>나이</t>
    <phoneticPr fontId="1" type="noConversion"/>
  </si>
  <si>
    <t>홍길동</t>
    <phoneticPr fontId="1" type="noConversion"/>
  </si>
  <si>
    <t>심리 주기만 필요할 경우 43, 44, 45 셀을 숨기시면 됩니다.(필요한 셀만 살려두시면 됩니다)</t>
    <phoneticPr fontId="1" type="noConversion"/>
  </si>
  <si>
    <t xml:space="preserve"> 흐름 주기 </t>
    <phoneticPr fontId="1" type="noConversion"/>
  </si>
  <si>
    <t xml:space="preserve"> 인생 흐름 주기 </t>
    <phoneticPr fontId="1" type="noConversion"/>
  </si>
  <si>
    <t xml:space="preserve">인생절기와   제물 흐름 주기 </t>
    <phoneticPr fontId="1" type="noConversion"/>
  </si>
  <si>
    <t xml:space="preserve">인생절기와  명예 흐름 주기 </t>
    <phoneticPr fontId="1" type="noConversion"/>
  </si>
  <si>
    <t>홍호기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</si>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</sst>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6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sz val="14"/>
      <name val="Arial"/>
      <family val="2"/>
    </font>
    <font>
      <sz val="18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16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4" xfId="0" applyFont="1" applyFill="1" applyBorder="1" applyAlignment="1">
      <alignment horizontal="right" vertical="center"/>
    </xf>
    <xf numFmtId="0" fontId="5" fillId="2" borderId="5" xfId="0" applyFont="1" applyFill="1" applyBorder="1">
      <alignment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5" fillId="2" borderId="6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936232217647063E-2"/>
          <c:y val="1.5180637634593685E-2"/>
          <c:w val="0.94601799344590431"/>
          <c:h val="0.75358771604970465"/>
        </c:manualLayout>
      </c:layout>
      <c:lineChart>
        <c:grouping val="standard"/>
        <c:varyColors val="0"/>
        <c:ser>
          <c:idx val="0"/>
          <c:order val="0"/>
          <c:tx>
            <c:strRef>
              <c:f>심리흐름주기!$A$41</c:f>
              <c:strCache>
                <c:ptCount val="1"/>
                <c:pt idx="0">
                  <c:v>심리</c:v>
                </c:pt>
              </c:strCache>
            </c:strRef>
          </c:tx>
          <c:marker>
            <c:symbol val="none"/>
          </c:marker>
          <c:cat>
            <c:multiLvlStrRef>
              <c:f>심리흐름주기!$C$45:$AN$47</c:f>
              <c:multiLvlStrCache>
                <c:ptCount val="38"/>
                <c:lvl>
                  <c:pt idx="0">
                    <c:v>8세</c:v>
                  </c:pt>
                  <c:pt idx="1">
                    <c:v>10세</c:v>
                  </c:pt>
                  <c:pt idx="2">
                    <c:v>13세</c:v>
                  </c:pt>
                  <c:pt idx="3">
                    <c:v>15세</c:v>
                  </c:pt>
                  <c:pt idx="4">
                    <c:v>18세</c:v>
                  </c:pt>
                  <c:pt idx="5">
                    <c:v>20세</c:v>
                  </c:pt>
                  <c:pt idx="6">
                    <c:v>23세</c:v>
                  </c:pt>
                  <c:pt idx="7">
                    <c:v>25세</c:v>
                  </c:pt>
                  <c:pt idx="8">
                    <c:v>28세</c:v>
                  </c:pt>
                  <c:pt idx="9">
                    <c:v>30세</c:v>
                  </c:pt>
                  <c:pt idx="10">
                    <c:v>33세</c:v>
                  </c:pt>
                  <c:pt idx="11">
                    <c:v>35세</c:v>
                  </c:pt>
                  <c:pt idx="12">
                    <c:v>38세</c:v>
                  </c:pt>
                  <c:pt idx="13">
                    <c:v>40세</c:v>
                  </c:pt>
                  <c:pt idx="14">
                    <c:v>43세</c:v>
                  </c:pt>
                  <c:pt idx="15">
                    <c:v>45세</c:v>
                  </c:pt>
                  <c:pt idx="16">
                    <c:v>48세</c:v>
                  </c:pt>
                  <c:pt idx="17">
                    <c:v>50세</c:v>
                  </c:pt>
                  <c:pt idx="18">
                    <c:v>53세</c:v>
                  </c:pt>
                  <c:pt idx="19">
                    <c:v>55세</c:v>
                  </c:pt>
                  <c:pt idx="20">
                    <c:v>58세</c:v>
                  </c:pt>
                  <c:pt idx="21">
                    <c:v>60세</c:v>
                  </c:pt>
                  <c:pt idx="22">
                    <c:v>63세</c:v>
                  </c:pt>
                  <c:pt idx="23">
                    <c:v>65세</c:v>
                  </c:pt>
                  <c:pt idx="24">
                    <c:v>68세</c:v>
                  </c:pt>
                  <c:pt idx="25">
                    <c:v>70세</c:v>
                  </c:pt>
                  <c:pt idx="26">
                    <c:v>73세</c:v>
                  </c:pt>
                  <c:pt idx="27">
                    <c:v>75세</c:v>
                  </c:pt>
                  <c:pt idx="28">
                    <c:v>78세</c:v>
                  </c:pt>
                  <c:pt idx="29">
                    <c:v>80세</c:v>
                  </c:pt>
                  <c:pt idx="30">
                    <c:v>83세</c:v>
                  </c:pt>
                  <c:pt idx="31">
                    <c:v>85세</c:v>
                  </c:pt>
                  <c:pt idx="32">
                    <c:v>88세</c:v>
                  </c:pt>
                  <c:pt idx="33">
                    <c:v>90세</c:v>
                  </c:pt>
                  <c:pt idx="34">
                    <c:v>93세</c:v>
                  </c:pt>
                  <c:pt idx="35">
                    <c:v>95세</c:v>
                  </c:pt>
                  <c:pt idx="36">
                    <c:v>98세</c:v>
                  </c:pt>
                  <c:pt idx="37">
                    <c:v>100세</c:v>
                  </c:pt>
                </c:lvl>
                <c:lvl>
                  <c:pt idx="0">
                    <c:v>5021</c:v>
                  </c:pt>
                  <c:pt idx="1">
                    <c:v>5023</c:v>
                  </c:pt>
                  <c:pt idx="2">
                    <c:v>5026</c:v>
                  </c:pt>
                  <c:pt idx="3">
                    <c:v>5028</c:v>
                  </c:pt>
                  <c:pt idx="4">
                    <c:v>5031</c:v>
                  </c:pt>
                  <c:pt idx="5">
                    <c:v>5033</c:v>
                  </c:pt>
                  <c:pt idx="6">
                    <c:v>5036</c:v>
                  </c:pt>
                  <c:pt idx="7">
                    <c:v>5038</c:v>
                  </c:pt>
                  <c:pt idx="8">
                    <c:v>5041</c:v>
                  </c:pt>
                  <c:pt idx="9">
                    <c:v>5043</c:v>
                  </c:pt>
                  <c:pt idx="10">
                    <c:v>5046</c:v>
                  </c:pt>
                  <c:pt idx="11">
                    <c:v>5048</c:v>
                  </c:pt>
                  <c:pt idx="12">
                    <c:v>5051</c:v>
                  </c:pt>
                  <c:pt idx="13">
                    <c:v>5053</c:v>
                  </c:pt>
                  <c:pt idx="14">
                    <c:v>5056</c:v>
                  </c:pt>
                  <c:pt idx="15">
                    <c:v>5058</c:v>
                  </c:pt>
                  <c:pt idx="16">
                    <c:v>5061</c:v>
                  </c:pt>
                  <c:pt idx="17">
                    <c:v>5063</c:v>
                  </c:pt>
                  <c:pt idx="18">
                    <c:v>5066</c:v>
                  </c:pt>
                  <c:pt idx="19">
                    <c:v>5068</c:v>
                  </c:pt>
                  <c:pt idx="20">
                    <c:v>5071</c:v>
                  </c:pt>
                  <c:pt idx="21">
                    <c:v>5073</c:v>
                  </c:pt>
                  <c:pt idx="22">
                    <c:v>5076</c:v>
                  </c:pt>
                  <c:pt idx="23">
                    <c:v>5078</c:v>
                  </c:pt>
                  <c:pt idx="24">
                    <c:v>5081</c:v>
                  </c:pt>
                  <c:pt idx="25">
                    <c:v>5083</c:v>
                  </c:pt>
                  <c:pt idx="26">
                    <c:v>5086</c:v>
                  </c:pt>
                  <c:pt idx="27">
                    <c:v>5088</c:v>
                  </c:pt>
                  <c:pt idx="28">
                    <c:v>5091</c:v>
                  </c:pt>
                  <c:pt idx="29">
                    <c:v>5093</c:v>
                  </c:pt>
                  <c:pt idx="30">
                    <c:v>5096</c:v>
                  </c:pt>
                  <c:pt idx="31">
                    <c:v>5098</c:v>
                  </c:pt>
                  <c:pt idx="32">
                    <c:v>5101</c:v>
                  </c:pt>
                  <c:pt idx="33">
                    <c:v>5103</c:v>
                  </c:pt>
                  <c:pt idx="34">
                    <c:v>5106</c:v>
                  </c:pt>
                  <c:pt idx="35">
                    <c:v>5108</c:v>
                  </c:pt>
                  <c:pt idx="36">
                    <c:v>5111</c:v>
                  </c:pt>
                  <c:pt idx="37">
                    <c:v>5113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심리흐름주기!$B$41:$AN$41</c:f>
              <c:numCache>
                <c:formatCode>General</c:formatCode>
                <c:ptCount val="39"/>
                <c:pt idx="0">
                  <c:v>-10</c:v>
                </c:pt>
                <c:pt idx="1">
                  <c:v>-7.5</c:v>
                </c:pt>
                <c:pt idx="2">
                  <c:v>-5</c:v>
                </c:pt>
                <c:pt idx="3">
                  <c:v>-2.5</c:v>
                </c:pt>
                <c:pt idx="4">
                  <c:v>0</c:v>
                </c:pt>
                <c:pt idx="5">
                  <c:v>2.5</c:v>
                </c:pt>
                <c:pt idx="6">
                  <c:v>5</c:v>
                </c:pt>
                <c:pt idx="7">
                  <c:v>7.5</c:v>
                </c:pt>
                <c:pt idx="8">
                  <c:v>10</c:v>
                </c:pt>
                <c:pt idx="9">
                  <c:v>12.5</c:v>
                </c:pt>
                <c:pt idx="10">
                  <c:v>15</c:v>
                </c:pt>
                <c:pt idx="11">
                  <c:v>17.5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  <c:pt idx="21">
                  <c:v>-2.5</c:v>
                </c:pt>
                <c:pt idx="22">
                  <c:v>-5</c:v>
                </c:pt>
                <c:pt idx="23">
                  <c:v>-7.5</c:v>
                </c:pt>
                <c:pt idx="24">
                  <c:v>-10</c:v>
                </c:pt>
                <c:pt idx="25">
                  <c:v>-7.5</c:v>
                </c:pt>
                <c:pt idx="26">
                  <c:v>-5</c:v>
                </c:pt>
                <c:pt idx="27">
                  <c:v>-2.5</c:v>
                </c:pt>
                <c:pt idx="28">
                  <c:v>0</c:v>
                </c:pt>
                <c:pt idx="29">
                  <c:v>2.5</c:v>
                </c:pt>
                <c:pt idx="30">
                  <c:v>5</c:v>
                </c:pt>
                <c:pt idx="31">
                  <c:v>7.5</c:v>
                </c:pt>
                <c:pt idx="32">
                  <c:v>10</c:v>
                </c:pt>
                <c:pt idx="33">
                  <c:v>12.5</c:v>
                </c:pt>
                <c:pt idx="34">
                  <c:v>15</c:v>
                </c:pt>
                <c:pt idx="35">
                  <c:v>17.5</c:v>
                </c:pt>
                <c:pt idx="36">
                  <c:v>20</c:v>
                </c:pt>
                <c:pt idx="37">
                  <c:v>17.5</c:v>
                </c:pt>
                <c:pt idx="3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6-4711-8841-314D7C6A2528}"/>
            </c:ext>
          </c:extLst>
        </c:ser>
        <c:ser>
          <c:idx val="1"/>
          <c:order val="1"/>
          <c:tx>
            <c:strRef>
              <c:f>심리흐름주기!$A$42</c:f>
              <c:strCache>
                <c:ptCount val="1"/>
                <c:pt idx="0">
                  <c:v>수단</c:v>
                </c:pt>
              </c:strCache>
            </c:strRef>
          </c:tx>
          <c:marker>
            <c:symbol val="none"/>
          </c:marker>
          <c:cat>
            <c:multiLvlStrRef>
              <c:f>심리흐름주기!$C$45:$AN$47</c:f>
              <c:multiLvlStrCache>
                <c:ptCount val="38"/>
                <c:lvl>
                  <c:pt idx="0">
                    <c:v>8세</c:v>
                  </c:pt>
                  <c:pt idx="1">
                    <c:v>10세</c:v>
                  </c:pt>
                  <c:pt idx="2">
                    <c:v>13세</c:v>
                  </c:pt>
                  <c:pt idx="3">
                    <c:v>15세</c:v>
                  </c:pt>
                  <c:pt idx="4">
                    <c:v>18세</c:v>
                  </c:pt>
                  <c:pt idx="5">
                    <c:v>20세</c:v>
                  </c:pt>
                  <c:pt idx="6">
                    <c:v>23세</c:v>
                  </c:pt>
                  <c:pt idx="7">
                    <c:v>25세</c:v>
                  </c:pt>
                  <c:pt idx="8">
                    <c:v>28세</c:v>
                  </c:pt>
                  <c:pt idx="9">
                    <c:v>30세</c:v>
                  </c:pt>
                  <c:pt idx="10">
                    <c:v>33세</c:v>
                  </c:pt>
                  <c:pt idx="11">
                    <c:v>35세</c:v>
                  </c:pt>
                  <c:pt idx="12">
                    <c:v>38세</c:v>
                  </c:pt>
                  <c:pt idx="13">
                    <c:v>40세</c:v>
                  </c:pt>
                  <c:pt idx="14">
                    <c:v>43세</c:v>
                  </c:pt>
                  <c:pt idx="15">
                    <c:v>45세</c:v>
                  </c:pt>
                  <c:pt idx="16">
                    <c:v>48세</c:v>
                  </c:pt>
                  <c:pt idx="17">
                    <c:v>50세</c:v>
                  </c:pt>
                  <c:pt idx="18">
                    <c:v>53세</c:v>
                  </c:pt>
                  <c:pt idx="19">
                    <c:v>55세</c:v>
                  </c:pt>
                  <c:pt idx="20">
                    <c:v>58세</c:v>
                  </c:pt>
                  <c:pt idx="21">
                    <c:v>60세</c:v>
                  </c:pt>
                  <c:pt idx="22">
                    <c:v>63세</c:v>
                  </c:pt>
                  <c:pt idx="23">
                    <c:v>65세</c:v>
                  </c:pt>
                  <c:pt idx="24">
                    <c:v>68세</c:v>
                  </c:pt>
                  <c:pt idx="25">
                    <c:v>70세</c:v>
                  </c:pt>
                  <c:pt idx="26">
                    <c:v>73세</c:v>
                  </c:pt>
                  <c:pt idx="27">
                    <c:v>75세</c:v>
                  </c:pt>
                  <c:pt idx="28">
                    <c:v>78세</c:v>
                  </c:pt>
                  <c:pt idx="29">
                    <c:v>80세</c:v>
                  </c:pt>
                  <c:pt idx="30">
                    <c:v>83세</c:v>
                  </c:pt>
                  <c:pt idx="31">
                    <c:v>85세</c:v>
                  </c:pt>
                  <c:pt idx="32">
                    <c:v>88세</c:v>
                  </c:pt>
                  <c:pt idx="33">
                    <c:v>90세</c:v>
                  </c:pt>
                  <c:pt idx="34">
                    <c:v>93세</c:v>
                  </c:pt>
                  <c:pt idx="35">
                    <c:v>95세</c:v>
                  </c:pt>
                  <c:pt idx="36">
                    <c:v>98세</c:v>
                  </c:pt>
                  <c:pt idx="37">
                    <c:v>100세</c:v>
                  </c:pt>
                </c:lvl>
                <c:lvl>
                  <c:pt idx="0">
                    <c:v>5021</c:v>
                  </c:pt>
                  <c:pt idx="1">
                    <c:v>5023</c:v>
                  </c:pt>
                  <c:pt idx="2">
                    <c:v>5026</c:v>
                  </c:pt>
                  <c:pt idx="3">
                    <c:v>5028</c:v>
                  </c:pt>
                  <c:pt idx="4">
                    <c:v>5031</c:v>
                  </c:pt>
                  <c:pt idx="5">
                    <c:v>5033</c:v>
                  </c:pt>
                  <c:pt idx="6">
                    <c:v>5036</c:v>
                  </c:pt>
                  <c:pt idx="7">
                    <c:v>5038</c:v>
                  </c:pt>
                  <c:pt idx="8">
                    <c:v>5041</c:v>
                  </c:pt>
                  <c:pt idx="9">
                    <c:v>5043</c:v>
                  </c:pt>
                  <c:pt idx="10">
                    <c:v>5046</c:v>
                  </c:pt>
                  <c:pt idx="11">
                    <c:v>5048</c:v>
                  </c:pt>
                  <c:pt idx="12">
                    <c:v>5051</c:v>
                  </c:pt>
                  <c:pt idx="13">
                    <c:v>5053</c:v>
                  </c:pt>
                  <c:pt idx="14">
                    <c:v>5056</c:v>
                  </c:pt>
                  <c:pt idx="15">
                    <c:v>5058</c:v>
                  </c:pt>
                  <c:pt idx="16">
                    <c:v>5061</c:v>
                  </c:pt>
                  <c:pt idx="17">
                    <c:v>5063</c:v>
                  </c:pt>
                  <c:pt idx="18">
                    <c:v>5066</c:v>
                  </c:pt>
                  <c:pt idx="19">
                    <c:v>5068</c:v>
                  </c:pt>
                  <c:pt idx="20">
                    <c:v>5071</c:v>
                  </c:pt>
                  <c:pt idx="21">
                    <c:v>5073</c:v>
                  </c:pt>
                  <c:pt idx="22">
                    <c:v>5076</c:v>
                  </c:pt>
                  <c:pt idx="23">
                    <c:v>5078</c:v>
                  </c:pt>
                  <c:pt idx="24">
                    <c:v>5081</c:v>
                  </c:pt>
                  <c:pt idx="25">
                    <c:v>5083</c:v>
                  </c:pt>
                  <c:pt idx="26">
                    <c:v>5086</c:v>
                  </c:pt>
                  <c:pt idx="27">
                    <c:v>5088</c:v>
                  </c:pt>
                  <c:pt idx="28">
                    <c:v>5091</c:v>
                  </c:pt>
                  <c:pt idx="29">
                    <c:v>5093</c:v>
                  </c:pt>
                  <c:pt idx="30">
                    <c:v>5096</c:v>
                  </c:pt>
                  <c:pt idx="31">
                    <c:v>5098</c:v>
                  </c:pt>
                  <c:pt idx="32">
                    <c:v>5101</c:v>
                  </c:pt>
                  <c:pt idx="33">
                    <c:v>5103</c:v>
                  </c:pt>
                  <c:pt idx="34">
                    <c:v>5106</c:v>
                  </c:pt>
                  <c:pt idx="35">
                    <c:v>5108</c:v>
                  </c:pt>
                  <c:pt idx="36">
                    <c:v>5111</c:v>
                  </c:pt>
                  <c:pt idx="37">
                    <c:v>5113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심리흐름주기!$B$42:$AN$42</c:f>
            </c:numRef>
          </c:val>
          <c:smooth val="0"/>
          <c:extLst>
            <c:ext xmlns:c16="http://schemas.microsoft.com/office/drawing/2014/chart" uri="{C3380CC4-5D6E-409C-BE32-E72D297353CC}">
              <c16:uniqueId val="{00000001-1856-4711-8841-314D7C6A2528}"/>
            </c:ext>
          </c:extLst>
        </c:ser>
        <c:ser>
          <c:idx val="2"/>
          <c:order val="2"/>
          <c:tx>
            <c:strRef>
              <c:f>심리흐름주기!$A$43</c:f>
              <c:strCache>
                <c:ptCount val="1"/>
                <c:pt idx="0">
                  <c:v>재물</c:v>
                </c:pt>
              </c:strCache>
            </c:strRef>
          </c:tx>
          <c:marker>
            <c:symbol val="none"/>
          </c:marker>
          <c:cat>
            <c:multiLvlStrRef>
              <c:f>심리흐름주기!$C$45:$AN$47</c:f>
              <c:multiLvlStrCache>
                <c:ptCount val="38"/>
                <c:lvl>
                  <c:pt idx="0">
                    <c:v>8세</c:v>
                  </c:pt>
                  <c:pt idx="1">
                    <c:v>10세</c:v>
                  </c:pt>
                  <c:pt idx="2">
                    <c:v>13세</c:v>
                  </c:pt>
                  <c:pt idx="3">
                    <c:v>15세</c:v>
                  </c:pt>
                  <c:pt idx="4">
                    <c:v>18세</c:v>
                  </c:pt>
                  <c:pt idx="5">
                    <c:v>20세</c:v>
                  </c:pt>
                  <c:pt idx="6">
                    <c:v>23세</c:v>
                  </c:pt>
                  <c:pt idx="7">
                    <c:v>25세</c:v>
                  </c:pt>
                  <c:pt idx="8">
                    <c:v>28세</c:v>
                  </c:pt>
                  <c:pt idx="9">
                    <c:v>30세</c:v>
                  </c:pt>
                  <c:pt idx="10">
                    <c:v>33세</c:v>
                  </c:pt>
                  <c:pt idx="11">
                    <c:v>35세</c:v>
                  </c:pt>
                  <c:pt idx="12">
                    <c:v>38세</c:v>
                  </c:pt>
                  <c:pt idx="13">
                    <c:v>40세</c:v>
                  </c:pt>
                  <c:pt idx="14">
                    <c:v>43세</c:v>
                  </c:pt>
                  <c:pt idx="15">
                    <c:v>45세</c:v>
                  </c:pt>
                  <c:pt idx="16">
                    <c:v>48세</c:v>
                  </c:pt>
                  <c:pt idx="17">
                    <c:v>50세</c:v>
                  </c:pt>
                  <c:pt idx="18">
                    <c:v>53세</c:v>
                  </c:pt>
                  <c:pt idx="19">
                    <c:v>55세</c:v>
                  </c:pt>
                  <c:pt idx="20">
                    <c:v>58세</c:v>
                  </c:pt>
                  <c:pt idx="21">
                    <c:v>60세</c:v>
                  </c:pt>
                  <c:pt idx="22">
                    <c:v>63세</c:v>
                  </c:pt>
                  <c:pt idx="23">
                    <c:v>65세</c:v>
                  </c:pt>
                  <c:pt idx="24">
                    <c:v>68세</c:v>
                  </c:pt>
                  <c:pt idx="25">
                    <c:v>70세</c:v>
                  </c:pt>
                  <c:pt idx="26">
                    <c:v>73세</c:v>
                  </c:pt>
                  <c:pt idx="27">
                    <c:v>75세</c:v>
                  </c:pt>
                  <c:pt idx="28">
                    <c:v>78세</c:v>
                  </c:pt>
                  <c:pt idx="29">
                    <c:v>80세</c:v>
                  </c:pt>
                  <c:pt idx="30">
                    <c:v>83세</c:v>
                  </c:pt>
                  <c:pt idx="31">
                    <c:v>85세</c:v>
                  </c:pt>
                  <c:pt idx="32">
                    <c:v>88세</c:v>
                  </c:pt>
                  <c:pt idx="33">
                    <c:v>90세</c:v>
                  </c:pt>
                  <c:pt idx="34">
                    <c:v>93세</c:v>
                  </c:pt>
                  <c:pt idx="35">
                    <c:v>95세</c:v>
                  </c:pt>
                  <c:pt idx="36">
                    <c:v>98세</c:v>
                  </c:pt>
                  <c:pt idx="37">
                    <c:v>100세</c:v>
                  </c:pt>
                </c:lvl>
                <c:lvl>
                  <c:pt idx="0">
                    <c:v>5021</c:v>
                  </c:pt>
                  <c:pt idx="1">
                    <c:v>5023</c:v>
                  </c:pt>
                  <c:pt idx="2">
                    <c:v>5026</c:v>
                  </c:pt>
                  <c:pt idx="3">
                    <c:v>5028</c:v>
                  </c:pt>
                  <c:pt idx="4">
                    <c:v>5031</c:v>
                  </c:pt>
                  <c:pt idx="5">
                    <c:v>5033</c:v>
                  </c:pt>
                  <c:pt idx="6">
                    <c:v>5036</c:v>
                  </c:pt>
                  <c:pt idx="7">
                    <c:v>5038</c:v>
                  </c:pt>
                  <c:pt idx="8">
                    <c:v>5041</c:v>
                  </c:pt>
                  <c:pt idx="9">
                    <c:v>5043</c:v>
                  </c:pt>
                  <c:pt idx="10">
                    <c:v>5046</c:v>
                  </c:pt>
                  <c:pt idx="11">
                    <c:v>5048</c:v>
                  </c:pt>
                  <c:pt idx="12">
                    <c:v>5051</c:v>
                  </c:pt>
                  <c:pt idx="13">
                    <c:v>5053</c:v>
                  </c:pt>
                  <c:pt idx="14">
                    <c:v>5056</c:v>
                  </c:pt>
                  <c:pt idx="15">
                    <c:v>5058</c:v>
                  </c:pt>
                  <c:pt idx="16">
                    <c:v>5061</c:v>
                  </c:pt>
                  <c:pt idx="17">
                    <c:v>5063</c:v>
                  </c:pt>
                  <c:pt idx="18">
                    <c:v>5066</c:v>
                  </c:pt>
                  <c:pt idx="19">
                    <c:v>5068</c:v>
                  </c:pt>
                  <c:pt idx="20">
                    <c:v>5071</c:v>
                  </c:pt>
                  <c:pt idx="21">
                    <c:v>5073</c:v>
                  </c:pt>
                  <c:pt idx="22">
                    <c:v>5076</c:v>
                  </c:pt>
                  <c:pt idx="23">
                    <c:v>5078</c:v>
                  </c:pt>
                  <c:pt idx="24">
                    <c:v>5081</c:v>
                  </c:pt>
                  <c:pt idx="25">
                    <c:v>5083</c:v>
                  </c:pt>
                  <c:pt idx="26">
                    <c:v>5086</c:v>
                  </c:pt>
                  <c:pt idx="27">
                    <c:v>5088</c:v>
                  </c:pt>
                  <c:pt idx="28">
                    <c:v>5091</c:v>
                  </c:pt>
                  <c:pt idx="29">
                    <c:v>5093</c:v>
                  </c:pt>
                  <c:pt idx="30">
                    <c:v>5096</c:v>
                  </c:pt>
                  <c:pt idx="31">
                    <c:v>5098</c:v>
                  </c:pt>
                  <c:pt idx="32">
                    <c:v>5101</c:v>
                  </c:pt>
                  <c:pt idx="33">
                    <c:v>5103</c:v>
                  </c:pt>
                  <c:pt idx="34">
                    <c:v>5106</c:v>
                  </c:pt>
                  <c:pt idx="35">
                    <c:v>5108</c:v>
                  </c:pt>
                  <c:pt idx="36">
                    <c:v>5111</c:v>
                  </c:pt>
                  <c:pt idx="37">
                    <c:v>5113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심리흐름주기!$B$43:$AN$43</c:f>
            </c:numRef>
          </c:val>
          <c:smooth val="0"/>
          <c:extLst>
            <c:ext xmlns:c16="http://schemas.microsoft.com/office/drawing/2014/chart" uri="{C3380CC4-5D6E-409C-BE32-E72D297353CC}">
              <c16:uniqueId val="{00000002-1856-4711-8841-314D7C6A2528}"/>
            </c:ext>
          </c:extLst>
        </c:ser>
        <c:ser>
          <c:idx val="3"/>
          <c:order val="3"/>
          <c:tx>
            <c:strRef>
              <c:f>심리흐름주기!$A$44</c:f>
              <c:strCache>
                <c:ptCount val="1"/>
                <c:pt idx="0">
                  <c:v>명예</c:v>
                </c:pt>
              </c:strCache>
            </c:strRef>
          </c:tx>
          <c:marker>
            <c:symbol val="none"/>
          </c:marker>
          <c:cat>
            <c:multiLvlStrRef>
              <c:f>심리흐름주기!$C$45:$AN$47</c:f>
              <c:multiLvlStrCache>
                <c:ptCount val="38"/>
                <c:lvl>
                  <c:pt idx="0">
                    <c:v>8세</c:v>
                  </c:pt>
                  <c:pt idx="1">
                    <c:v>10세</c:v>
                  </c:pt>
                  <c:pt idx="2">
                    <c:v>13세</c:v>
                  </c:pt>
                  <c:pt idx="3">
                    <c:v>15세</c:v>
                  </c:pt>
                  <c:pt idx="4">
                    <c:v>18세</c:v>
                  </c:pt>
                  <c:pt idx="5">
                    <c:v>20세</c:v>
                  </c:pt>
                  <c:pt idx="6">
                    <c:v>23세</c:v>
                  </c:pt>
                  <c:pt idx="7">
                    <c:v>25세</c:v>
                  </c:pt>
                  <c:pt idx="8">
                    <c:v>28세</c:v>
                  </c:pt>
                  <c:pt idx="9">
                    <c:v>30세</c:v>
                  </c:pt>
                  <c:pt idx="10">
                    <c:v>33세</c:v>
                  </c:pt>
                  <c:pt idx="11">
                    <c:v>35세</c:v>
                  </c:pt>
                  <c:pt idx="12">
                    <c:v>38세</c:v>
                  </c:pt>
                  <c:pt idx="13">
                    <c:v>40세</c:v>
                  </c:pt>
                  <c:pt idx="14">
                    <c:v>43세</c:v>
                  </c:pt>
                  <c:pt idx="15">
                    <c:v>45세</c:v>
                  </c:pt>
                  <c:pt idx="16">
                    <c:v>48세</c:v>
                  </c:pt>
                  <c:pt idx="17">
                    <c:v>50세</c:v>
                  </c:pt>
                  <c:pt idx="18">
                    <c:v>53세</c:v>
                  </c:pt>
                  <c:pt idx="19">
                    <c:v>55세</c:v>
                  </c:pt>
                  <c:pt idx="20">
                    <c:v>58세</c:v>
                  </c:pt>
                  <c:pt idx="21">
                    <c:v>60세</c:v>
                  </c:pt>
                  <c:pt idx="22">
                    <c:v>63세</c:v>
                  </c:pt>
                  <c:pt idx="23">
                    <c:v>65세</c:v>
                  </c:pt>
                  <c:pt idx="24">
                    <c:v>68세</c:v>
                  </c:pt>
                  <c:pt idx="25">
                    <c:v>70세</c:v>
                  </c:pt>
                  <c:pt idx="26">
                    <c:v>73세</c:v>
                  </c:pt>
                  <c:pt idx="27">
                    <c:v>75세</c:v>
                  </c:pt>
                  <c:pt idx="28">
                    <c:v>78세</c:v>
                  </c:pt>
                  <c:pt idx="29">
                    <c:v>80세</c:v>
                  </c:pt>
                  <c:pt idx="30">
                    <c:v>83세</c:v>
                  </c:pt>
                  <c:pt idx="31">
                    <c:v>85세</c:v>
                  </c:pt>
                  <c:pt idx="32">
                    <c:v>88세</c:v>
                  </c:pt>
                  <c:pt idx="33">
                    <c:v>90세</c:v>
                  </c:pt>
                  <c:pt idx="34">
                    <c:v>93세</c:v>
                  </c:pt>
                  <c:pt idx="35">
                    <c:v>95세</c:v>
                  </c:pt>
                  <c:pt idx="36">
                    <c:v>98세</c:v>
                  </c:pt>
                  <c:pt idx="37">
                    <c:v>100세</c:v>
                  </c:pt>
                </c:lvl>
                <c:lvl>
                  <c:pt idx="0">
                    <c:v>5021</c:v>
                  </c:pt>
                  <c:pt idx="1">
                    <c:v>5023</c:v>
                  </c:pt>
                  <c:pt idx="2">
                    <c:v>5026</c:v>
                  </c:pt>
                  <c:pt idx="3">
                    <c:v>5028</c:v>
                  </c:pt>
                  <c:pt idx="4">
                    <c:v>5031</c:v>
                  </c:pt>
                  <c:pt idx="5">
                    <c:v>5033</c:v>
                  </c:pt>
                  <c:pt idx="6">
                    <c:v>5036</c:v>
                  </c:pt>
                  <c:pt idx="7">
                    <c:v>5038</c:v>
                  </c:pt>
                  <c:pt idx="8">
                    <c:v>5041</c:v>
                  </c:pt>
                  <c:pt idx="9">
                    <c:v>5043</c:v>
                  </c:pt>
                  <c:pt idx="10">
                    <c:v>5046</c:v>
                  </c:pt>
                  <c:pt idx="11">
                    <c:v>5048</c:v>
                  </c:pt>
                  <c:pt idx="12">
                    <c:v>5051</c:v>
                  </c:pt>
                  <c:pt idx="13">
                    <c:v>5053</c:v>
                  </c:pt>
                  <c:pt idx="14">
                    <c:v>5056</c:v>
                  </c:pt>
                  <c:pt idx="15">
                    <c:v>5058</c:v>
                  </c:pt>
                  <c:pt idx="16">
                    <c:v>5061</c:v>
                  </c:pt>
                  <c:pt idx="17">
                    <c:v>5063</c:v>
                  </c:pt>
                  <c:pt idx="18">
                    <c:v>5066</c:v>
                  </c:pt>
                  <c:pt idx="19">
                    <c:v>5068</c:v>
                  </c:pt>
                  <c:pt idx="20">
                    <c:v>5071</c:v>
                  </c:pt>
                  <c:pt idx="21">
                    <c:v>5073</c:v>
                  </c:pt>
                  <c:pt idx="22">
                    <c:v>5076</c:v>
                  </c:pt>
                  <c:pt idx="23">
                    <c:v>5078</c:v>
                  </c:pt>
                  <c:pt idx="24">
                    <c:v>5081</c:v>
                  </c:pt>
                  <c:pt idx="25">
                    <c:v>5083</c:v>
                  </c:pt>
                  <c:pt idx="26">
                    <c:v>5086</c:v>
                  </c:pt>
                  <c:pt idx="27">
                    <c:v>5088</c:v>
                  </c:pt>
                  <c:pt idx="28">
                    <c:v>5091</c:v>
                  </c:pt>
                  <c:pt idx="29">
                    <c:v>5093</c:v>
                  </c:pt>
                  <c:pt idx="30">
                    <c:v>5096</c:v>
                  </c:pt>
                  <c:pt idx="31">
                    <c:v>5098</c:v>
                  </c:pt>
                  <c:pt idx="32">
                    <c:v>5101</c:v>
                  </c:pt>
                  <c:pt idx="33">
                    <c:v>5103</c:v>
                  </c:pt>
                  <c:pt idx="34">
                    <c:v>5106</c:v>
                  </c:pt>
                  <c:pt idx="35">
                    <c:v>5108</c:v>
                  </c:pt>
                  <c:pt idx="36">
                    <c:v>5111</c:v>
                  </c:pt>
                  <c:pt idx="37">
                    <c:v>5113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심리흐름주기!$B$44:$AN$44</c:f>
            </c:numRef>
          </c:val>
          <c:smooth val="0"/>
          <c:extLst>
            <c:ext xmlns:c16="http://schemas.microsoft.com/office/drawing/2014/chart" uri="{C3380CC4-5D6E-409C-BE32-E72D297353CC}">
              <c16:uniqueId val="{00000003-1856-4711-8841-314D7C6A2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48768"/>
        <c:axId val="58850304"/>
      </c:lineChart>
      <c:catAx>
        <c:axId val="588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noFill/>
          </a:ln>
        </c:spPr>
        <c:txPr>
          <a:bodyPr rot="0" vert="wordArtVertRtl"/>
          <a:lstStyle/>
          <a:p>
            <a:pPr>
              <a:defRPr sz="1200" b="1"/>
            </a:pPr>
            <a:endParaRPr lang="ko-KR"/>
          </a:p>
        </c:txPr>
        <c:crossAx val="58850304"/>
        <c:crossesAt val="0"/>
        <c:auto val="1"/>
        <c:lblAlgn val="ctr"/>
        <c:lblOffset val="200"/>
        <c:tickMarkSkip val="10"/>
        <c:noMultiLvlLbl val="0"/>
      </c:catAx>
      <c:valAx>
        <c:axId val="5885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="1"/>
            </a:pPr>
            <a:endParaRPr lang="ko-KR"/>
          </a:p>
        </c:txPr>
        <c:crossAx val="58848768"/>
        <c:crosses val="autoZero"/>
        <c:crossBetween val="between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25" r="0.25" t="0.75000000000000056" header="0.30000000000000027" footer="0.30000000000000027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936232217647063E-2"/>
          <c:y val="1.5180637634593685E-2"/>
          <c:w val="0.94601799344590431"/>
          <c:h val="0.75358771604970465"/>
        </c:manualLayout>
      </c:layout>
      <c:lineChart>
        <c:grouping val="standard"/>
        <c:varyColors val="0"/>
        <c:ser>
          <c:idx val="0"/>
          <c:order val="0"/>
          <c:tx>
            <c:strRef>
              <c:f>심리제물흐름주기!$B$41</c:f>
              <c:strCache>
                <c:ptCount val="1"/>
                <c:pt idx="0">
                  <c:v>심리</c:v>
                </c:pt>
              </c:strCache>
            </c:strRef>
          </c:tx>
          <c:marker>
            <c:symbol val="none"/>
          </c:marker>
          <c:cat>
            <c:multiLvlStrRef>
              <c:f>심리제물흐름주기!$D$45:$AO$47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심리제물흐름주기!$C$41:$AO$41</c:f>
              <c:numCache>
                <c:formatCode>General</c:formatCode>
                <c:ptCount val="39"/>
                <c:pt idx="0">
                  <c:v>-10</c:v>
                </c:pt>
                <c:pt idx="1">
                  <c:v>-7.5</c:v>
                </c:pt>
                <c:pt idx="2">
                  <c:v>-5</c:v>
                </c:pt>
                <c:pt idx="3">
                  <c:v>-2.5</c:v>
                </c:pt>
                <c:pt idx="4">
                  <c:v>0</c:v>
                </c:pt>
                <c:pt idx="5">
                  <c:v>2.5</c:v>
                </c:pt>
                <c:pt idx="6">
                  <c:v>5</c:v>
                </c:pt>
                <c:pt idx="7">
                  <c:v>7.5</c:v>
                </c:pt>
                <c:pt idx="8">
                  <c:v>10</c:v>
                </c:pt>
                <c:pt idx="9">
                  <c:v>12.5</c:v>
                </c:pt>
                <c:pt idx="10">
                  <c:v>15</c:v>
                </c:pt>
                <c:pt idx="11">
                  <c:v>17.5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  <c:pt idx="21">
                  <c:v>-2.5</c:v>
                </c:pt>
                <c:pt idx="22">
                  <c:v>-5</c:v>
                </c:pt>
                <c:pt idx="23">
                  <c:v>-7.5</c:v>
                </c:pt>
                <c:pt idx="24">
                  <c:v>-10</c:v>
                </c:pt>
                <c:pt idx="25">
                  <c:v>-7.5</c:v>
                </c:pt>
                <c:pt idx="26">
                  <c:v>-5</c:v>
                </c:pt>
                <c:pt idx="27">
                  <c:v>-2.5</c:v>
                </c:pt>
                <c:pt idx="28">
                  <c:v>0</c:v>
                </c:pt>
                <c:pt idx="29">
                  <c:v>2.5</c:v>
                </c:pt>
                <c:pt idx="30">
                  <c:v>5</c:v>
                </c:pt>
                <c:pt idx="31">
                  <c:v>7.5</c:v>
                </c:pt>
                <c:pt idx="32">
                  <c:v>10</c:v>
                </c:pt>
                <c:pt idx="33">
                  <c:v>12.5</c:v>
                </c:pt>
                <c:pt idx="34">
                  <c:v>15</c:v>
                </c:pt>
                <c:pt idx="35">
                  <c:v>17.5</c:v>
                </c:pt>
                <c:pt idx="36">
                  <c:v>20</c:v>
                </c:pt>
                <c:pt idx="37">
                  <c:v>17.5</c:v>
                </c:pt>
                <c:pt idx="3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F-4A6A-87A9-7E64A58CCCC7}"/>
            </c:ext>
          </c:extLst>
        </c:ser>
        <c:ser>
          <c:idx val="1"/>
          <c:order val="1"/>
          <c:tx>
            <c:strRef>
              <c:f>심리제물흐름주기!$B$42</c:f>
              <c:strCache>
                <c:ptCount val="1"/>
                <c:pt idx="0">
                  <c:v>수단</c:v>
                </c:pt>
              </c:strCache>
            </c:strRef>
          </c:tx>
          <c:marker>
            <c:symbol val="none"/>
          </c:marker>
          <c:cat>
            <c:multiLvlStrRef>
              <c:f>심리제물흐름주기!$D$45:$AO$47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심리제물흐름주기!$C$42:$AO$42</c:f>
            </c:numRef>
          </c:val>
          <c:smooth val="0"/>
          <c:extLst>
            <c:ext xmlns:c16="http://schemas.microsoft.com/office/drawing/2014/chart" uri="{C3380CC4-5D6E-409C-BE32-E72D297353CC}">
              <c16:uniqueId val="{00000001-5FFF-4A6A-87A9-7E64A58CCCC7}"/>
            </c:ext>
          </c:extLst>
        </c:ser>
        <c:ser>
          <c:idx val="2"/>
          <c:order val="2"/>
          <c:tx>
            <c:strRef>
              <c:f>심리제물흐름주기!$B$43</c:f>
              <c:strCache>
                <c:ptCount val="1"/>
                <c:pt idx="0">
                  <c:v>재물</c:v>
                </c:pt>
              </c:strCache>
            </c:strRef>
          </c:tx>
          <c:marker>
            <c:symbol val="none"/>
          </c:marker>
          <c:cat>
            <c:multiLvlStrRef>
              <c:f>심리제물흐름주기!$D$45:$AO$47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심리제물흐름주기!$C$43:$AO$43</c:f>
              <c:numCache>
                <c:formatCode>General</c:formatCode>
                <c:ptCount val="39"/>
                <c:pt idx="8">
                  <c:v>-10</c:v>
                </c:pt>
                <c:pt idx="9">
                  <c:v>-7.5</c:v>
                </c:pt>
                <c:pt idx="10">
                  <c:v>-5</c:v>
                </c:pt>
                <c:pt idx="11">
                  <c:v>-2.5</c:v>
                </c:pt>
                <c:pt idx="12">
                  <c:v>0</c:v>
                </c:pt>
                <c:pt idx="13">
                  <c:v>2.5</c:v>
                </c:pt>
                <c:pt idx="14">
                  <c:v>5</c:v>
                </c:pt>
                <c:pt idx="15">
                  <c:v>7.5</c:v>
                </c:pt>
                <c:pt idx="16">
                  <c:v>10</c:v>
                </c:pt>
                <c:pt idx="17">
                  <c:v>12.5</c:v>
                </c:pt>
                <c:pt idx="18">
                  <c:v>15</c:v>
                </c:pt>
                <c:pt idx="19">
                  <c:v>17.5</c:v>
                </c:pt>
                <c:pt idx="20">
                  <c:v>20</c:v>
                </c:pt>
                <c:pt idx="21">
                  <c:v>17.5</c:v>
                </c:pt>
                <c:pt idx="22">
                  <c:v>15</c:v>
                </c:pt>
                <c:pt idx="23">
                  <c:v>12.5</c:v>
                </c:pt>
                <c:pt idx="24">
                  <c:v>10</c:v>
                </c:pt>
                <c:pt idx="25">
                  <c:v>7.5</c:v>
                </c:pt>
                <c:pt idx="26">
                  <c:v>5</c:v>
                </c:pt>
                <c:pt idx="27">
                  <c:v>2.5</c:v>
                </c:pt>
                <c:pt idx="28">
                  <c:v>0</c:v>
                </c:pt>
                <c:pt idx="29">
                  <c:v>-2.5</c:v>
                </c:pt>
                <c:pt idx="30">
                  <c:v>-5</c:v>
                </c:pt>
                <c:pt idx="31">
                  <c:v>-7.5</c:v>
                </c:pt>
                <c:pt idx="32">
                  <c:v>-10</c:v>
                </c:pt>
                <c:pt idx="33">
                  <c:v>-7.5</c:v>
                </c:pt>
                <c:pt idx="34">
                  <c:v>-5</c:v>
                </c:pt>
                <c:pt idx="35">
                  <c:v>-2.5</c:v>
                </c:pt>
                <c:pt idx="36">
                  <c:v>0</c:v>
                </c:pt>
                <c:pt idx="37">
                  <c:v>2.5</c:v>
                </c:pt>
                <c:pt idx="3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F-4A6A-87A9-7E64A58CCCC7}"/>
            </c:ext>
          </c:extLst>
        </c:ser>
        <c:ser>
          <c:idx val="3"/>
          <c:order val="3"/>
          <c:tx>
            <c:strRef>
              <c:f>심리제물흐름주기!$B$44</c:f>
              <c:strCache>
                <c:ptCount val="1"/>
                <c:pt idx="0">
                  <c:v>명예</c:v>
                </c:pt>
              </c:strCache>
            </c:strRef>
          </c:tx>
          <c:marker>
            <c:symbol val="none"/>
          </c:marker>
          <c:cat>
            <c:multiLvlStrRef>
              <c:f>심리제물흐름주기!$D$45:$AO$47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심리제물흐름주기!$C$44:$AO$44</c:f>
            </c:numRef>
          </c:val>
          <c:smooth val="0"/>
          <c:extLst>
            <c:ext xmlns:c16="http://schemas.microsoft.com/office/drawing/2014/chart" uri="{C3380CC4-5D6E-409C-BE32-E72D297353CC}">
              <c16:uniqueId val="{00000003-5FFF-4A6A-87A9-7E64A58C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1808"/>
        <c:axId val="59353344"/>
      </c:lineChart>
      <c:catAx>
        <c:axId val="593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noFill/>
          </a:ln>
        </c:spPr>
        <c:txPr>
          <a:bodyPr rot="0" vert="wordArtVertRtl"/>
          <a:lstStyle/>
          <a:p>
            <a:pPr>
              <a:defRPr sz="1200" b="1"/>
            </a:pPr>
            <a:endParaRPr lang="ko-KR"/>
          </a:p>
        </c:txPr>
        <c:crossAx val="59353344"/>
        <c:crossesAt val="0"/>
        <c:auto val="1"/>
        <c:lblAlgn val="ctr"/>
        <c:lblOffset val="200"/>
        <c:tickMarkSkip val="10"/>
        <c:noMultiLvlLbl val="0"/>
      </c:catAx>
      <c:valAx>
        <c:axId val="5935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="1"/>
            </a:pPr>
            <a:endParaRPr lang="ko-KR"/>
          </a:p>
        </c:txPr>
        <c:crossAx val="59351808"/>
        <c:crosses val="autoZero"/>
        <c:crossBetween val="between"/>
        <c:min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25" r="0.25" t="0.75000000000000056" header="0.30000000000000027" footer="0.30000000000000027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936232217647063E-2"/>
          <c:y val="1.5180637634593685E-2"/>
          <c:w val="0.94601799344590431"/>
          <c:h val="0.75358771604970465"/>
        </c:manualLayout>
      </c:layout>
      <c:lineChart>
        <c:grouping val="standard"/>
        <c:varyColors val="0"/>
        <c:ser>
          <c:idx val="0"/>
          <c:order val="0"/>
          <c:tx>
            <c:strRef>
              <c:f>심리명예!$B$41</c:f>
              <c:strCache>
                <c:ptCount val="1"/>
                <c:pt idx="0">
                  <c:v>심리</c:v>
                </c:pt>
              </c:strCache>
            </c:strRef>
          </c:tx>
          <c:marker>
            <c:symbol val="none"/>
          </c:marker>
          <c:cat>
            <c:multiLvlStrRef>
              <c:f>심리명예!$D$45:$AO$47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심리명예!$C$41:$AO$41</c:f>
              <c:numCache>
                <c:formatCode>General</c:formatCode>
                <c:ptCount val="39"/>
                <c:pt idx="0">
                  <c:v>-10</c:v>
                </c:pt>
                <c:pt idx="1">
                  <c:v>-7.5</c:v>
                </c:pt>
                <c:pt idx="2">
                  <c:v>-5</c:v>
                </c:pt>
                <c:pt idx="3">
                  <c:v>-2.5</c:v>
                </c:pt>
                <c:pt idx="4">
                  <c:v>0</c:v>
                </c:pt>
                <c:pt idx="5">
                  <c:v>2.5</c:v>
                </c:pt>
                <c:pt idx="6">
                  <c:v>5</c:v>
                </c:pt>
                <c:pt idx="7">
                  <c:v>7.5</c:v>
                </c:pt>
                <c:pt idx="8">
                  <c:v>10</c:v>
                </c:pt>
                <c:pt idx="9">
                  <c:v>12.5</c:v>
                </c:pt>
                <c:pt idx="10">
                  <c:v>15</c:v>
                </c:pt>
                <c:pt idx="11">
                  <c:v>17.5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  <c:pt idx="21">
                  <c:v>-2.5</c:v>
                </c:pt>
                <c:pt idx="22">
                  <c:v>-5</c:v>
                </c:pt>
                <c:pt idx="23">
                  <c:v>-7.5</c:v>
                </c:pt>
                <c:pt idx="24">
                  <c:v>-10</c:v>
                </c:pt>
                <c:pt idx="25">
                  <c:v>-7.5</c:v>
                </c:pt>
                <c:pt idx="26">
                  <c:v>-5</c:v>
                </c:pt>
                <c:pt idx="27">
                  <c:v>-2.5</c:v>
                </c:pt>
                <c:pt idx="28">
                  <c:v>0</c:v>
                </c:pt>
                <c:pt idx="29">
                  <c:v>2.5</c:v>
                </c:pt>
                <c:pt idx="30">
                  <c:v>5</c:v>
                </c:pt>
                <c:pt idx="31">
                  <c:v>7.5</c:v>
                </c:pt>
                <c:pt idx="32">
                  <c:v>10</c:v>
                </c:pt>
                <c:pt idx="33">
                  <c:v>12.5</c:v>
                </c:pt>
                <c:pt idx="34">
                  <c:v>15</c:v>
                </c:pt>
                <c:pt idx="35">
                  <c:v>17.5</c:v>
                </c:pt>
                <c:pt idx="36">
                  <c:v>20</c:v>
                </c:pt>
                <c:pt idx="37">
                  <c:v>17.5</c:v>
                </c:pt>
                <c:pt idx="3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1-4E51-BFDA-949417C318D6}"/>
            </c:ext>
          </c:extLst>
        </c:ser>
        <c:ser>
          <c:idx val="1"/>
          <c:order val="1"/>
          <c:tx>
            <c:strRef>
              <c:f>심리명예!$B$42</c:f>
              <c:strCache>
                <c:ptCount val="1"/>
                <c:pt idx="0">
                  <c:v>수단</c:v>
                </c:pt>
              </c:strCache>
            </c:strRef>
          </c:tx>
          <c:marker>
            <c:symbol val="none"/>
          </c:marker>
          <c:cat>
            <c:multiLvlStrRef>
              <c:f>심리명예!$D$45:$AO$47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심리명예!$C$42:$AO$42</c:f>
            </c:numRef>
          </c:val>
          <c:smooth val="0"/>
          <c:extLst>
            <c:ext xmlns:c16="http://schemas.microsoft.com/office/drawing/2014/chart" uri="{C3380CC4-5D6E-409C-BE32-E72D297353CC}">
              <c16:uniqueId val="{00000001-0A11-4E51-BFDA-949417C318D6}"/>
            </c:ext>
          </c:extLst>
        </c:ser>
        <c:ser>
          <c:idx val="2"/>
          <c:order val="2"/>
          <c:tx>
            <c:strRef>
              <c:f>심리명예!$B$43</c:f>
              <c:strCache>
                <c:ptCount val="1"/>
                <c:pt idx="0">
                  <c:v>재물</c:v>
                </c:pt>
              </c:strCache>
            </c:strRef>
          </c:tx>
          <c:marker>
            <c:symbol val="none"/>
          </c:marker>
          <c:cat>
            <c:multiLvlStrRef>
              <c:f>심리명예!$D$45:$AO$47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심리명예!$C$43:$AO$43</c:f>
            </c:numRef>
          </c:val>
          <c:smooth val="0"/>
          <c:extLst>
            <c:ext xmlns:c16="http://schemas.microsoft.com/office/drawing/2014/chart" uri="{C3380CC4-5D6E-409C-BE32-E72D297353CC}">
              <c16:uniqueId val="{00000002-0A11-4E51-BFDA-949417C318D6}"/>
            </c:ext>
          </c:extLst>
        </c:ser>
        <c:ser>
          <c:idx val="3"/>
          <c:order val="3"/>
          <c:tx>
            <c:strRef>
              <c:f>심리명예!$B$44</c:f>
              <c:strCache>
                <c:ptCount val="1"/>
                <c:pt idx="0">
                  <c:v>명예</c:v>
                </c:pt>
              </c:strCache>
            </c:strRef>
          </c:tx>
          <c:marker>
            <c:symbol val="none"/>
          </c:marker>
          <c:cat>
            <c:multiLvlStrRef>
              <c:f>심리명예!$D$45:$AO$47</c:f>
              <c:multiLvlStrCache>
                <c:ptCount val="38"/>
                <c:lvl>
                  <c:pt idx="0">
                    <c:v>-14세</c:v>
                  </c:pt>
                  <c:pt idx="1">
                    <c:v>-12세</c:v>
                  </c:pt>
                  <c:pt idx="2">
                    <c:v>-9세</c:v>
                  </c:pt>
                  <c:pt idx="3">
                    <c:v>-7세</c:v>
                  </c:pt>
                  <c:pt idx="4">
                    <c:v>-4세</c:v>
                  </c:pt>
                  <c:pt idx="5">
                    <c:v>-2세</c:v>
                  </c:pt>
                  <c:pt idx="6">
                    <c:v>1세</c:v>
                  </c:pt>
                  <c:pt idx="7">
                    <c:v>3세</c:v>
                  </c:pt>
                  <c:pt idx="8">
                    <c:v>6세</c:v>
                  </c:pt>
                  <c:pt idx="9">
                    <c:v>8세</c:v>
                  </c:pt>
                  <c:pt idx="10">
                    <c:v>11세</c:v>
                  </c:pt>
                  <c:pt idx="11">
                    <c:v>13세</c:v>
                  </c:pt>
                  <c:pt idx="12">
                    <c:v>16세</c:v>
                  </c:pt>
                  <c:pt idx="13">
                    <c:v>18세</c:v>
                  </c:pt>
                  <c:pt idx="14">
                    <c:v>21세</c:v>
                  </c:pt>
                  <c:pt idx="15">
                    <c:v>23세</c:v>
                  </c:pt>
                  <c:pt idx="16">
                    <c:v>26세</c:v>
                  </c:pt>
                  <c:pt idx="17">
                    <c:v>28세</c:v>
                  </c:pt>
                  <c:pt idx="18">
                    <c:v>31세</c:v>
                  </c:pt>
                  <c:pt idx="19">
                    <c:v>33세</c:v>
                  </c:pt>
                  <c:pt idx="20">
                    <c:v>36세</c:v>
                  </c:pt>
                  <c:pt idx="21">
                    <c:v>38세</c:v>
                  </c:pt>
                  <c:pt idx="22">
                    <c:v>41세</c:v>
                  </c:pt>
                  <c:pt idx="23">
                    <c:v>43세</c:v>
                  </c:pt>
                  <c:pt idx="24">
                    <c:v>46세</c:v>
                  </c:pt>
                  <c:pt idx="25">
                    <c:v>48세</c:v>
                  </c:pt>
                  <c:pt idx="26">
                    <c:v>51세</c:v>
                  </c:pt>
                  <c:pt idx="27">
                    <c:v>53세</c:v>
                  </c:pt>
                  <c:pt idx="28">
                    <c:v>56세</c:v>
                  </c:pt>
                  <c:pt idx="29">
                    <c:v>58세</c:v>
                  </c:pt>
                  <c:pt idx="30">
                    <c:v>61세</c:v>
                  </c:pt>
                  <c:pt idx="31">
                    <c:v>63세</c:v>
                  </c:pt>
                  <c:pt idx="32">
                    <c:v>66세</c:v>
                  </c:pt>
                  <c:pt idx="33">
                    <c:v>68세</c:v>
                  </c:pt>
                  <c:pt idx="34">
                    <c:v>71세</c:v>
                  </c:pt>
                  <c:pt idx="35">
                    <c:v>73세</c:v>
                  </c:pt>
                  <c:pt idx="36">
                    <c:v>76세</c:v>
                  </c:pt>
                  <c:pt idx="37">
                    <c:v>78세</c:v>
                  </c:pt>
                </c:lvl>
                <c:lvl>
                  <c:pt idx="0">
                    <c:v>1967</c:v>
                  </c:pt>
                  <c:pt idx="1">
                    <c:v>1969</c:v>
                  </c:pt>
                  <c:pt idx="2">
                    <c:v>1972</c:v>
                  </c:pt>
                  <c:pt idx="3">
                    <c:v>1974</c:v>
                  </c:pt>
                  <c:pt idx="4">
                    <c:v>1977</c:v>
                  </c:pt>
                  <c:pt idx="5">
                    <c:v>1979</c:v>
                  </c:pt>
                  <c:pt idx="6">
                    <c:v>1982</c:v>
                  </c:pt>
                  <c:pt idx="7">
                    <c:v>1984</c:v>
                  </c:pt>
                  <c:pt idx="8">
                    <c:v>1987</c:v>
                  </c:pt>
                  <c:pt idx="9">
                    <c:v>1989</c:v>
                  </c:pt>
                  <c:pt idx="10">
                    <c:v>1992</c:v>
                  </c:pt>
                  <c:pt idx="11">
                    <c:v>1994</c:v>
                  </c:pt>
                  <c:pt idx="12">
                    <c:v>1997</c:v>
                  </c:pt>
                  <c:pt idx="13">
                    <c:v>1999</c:v>
                  </c:pt>
                  <c:pt idx="14">
                    <c:v>2002</c:v>
                  </c:pt>
                  <c:pt idx="15">
                    <c:v>2004</c:v>
                  </c:pt>
                  <c:pt idx="16">
                    <c:v>2007</c:v>
                  </c:pt>
                  <c:pt idx="17">
                    <c:v>2009</c:v>
                  </c:pt>
                  <c:pt idx="18">
                    <c:v>2012</c:v>
                  </c:pt>
                  <c:pt idx="19">
                    <c:v>2014</c:v>
                  </c:pt>
                  <c:pt idx="20">
                    <c:v>2017</c:v>
                  </c:pt>
                  <c:pt idx="21">
                    <c:v>2019</c:v>
                  </c:pt>
                  <c:pt idx="22">
                    <c:v>2022</c:v>
                  </c:pt>
                  <c:pt idx="23">
                    <c:v>2024</c:v>
                  </c:pt>
                  <c:pt idx="24">
                    <c:v>2027</c:v>
                  </c:pt>
                  <c:pt idx="25">
                    <c:v>2029</c:v>
                  </c:pt>
                  <c:pt idx="26">
                    <c:v>2032</c:v>
                  </c:pt>
                  <c:pt idx="27">
                    <c:v>2034</c:v>
                  </c:pt>
                  <c:pt idx="28">
                    <c:v>2037</c:v>
                  </c:pt>
                  <c:pt idx="29">
                    <c:v>2039</c:v>
                  </c:pt>
                  <c:pt idx="30">
                    <c:v>2042</c:v>
                  </c:pt>
                  <c:pt idx="31">
                    <c:v>2044</c:v>
                  </c:pt>
                  <c:pt idx="32">
                    <c:v>2047</c:v>
                  </c:pt>
                  <c:pt idx="33">
                    <c:v>2049</c:v>
                  </c:pt>
                  <c:pt idx="34">
                    <c:v>2052</c:v>
                  </c:pt>
                  <c:pt idx="35">
                    <c:v>2054</c:v>
                  </c:pt>
                  <c:pt idx="36">
                    <c:v>2057</c:v>
                  </c:pt>
                  <c:pt idx="37">
                    <c:v>2059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심리명예!$C$44:$AO$44</c:f>
              <c:numCache>
                <c:formatCode>General</c:formatCode>
                <c:ptCount val="39"/>
                <c:pt idx="12">
                  <c:v>-10</c:v>
                </c:pt>
                <c:pt idx="13">
                  <c:v>-7.5</c:v>
                </c:pt>
                <c:pt idx="14">
                  <c:v>-5</c:v>
                </c:pt>
                <c:pt idx="15">
                  <c:v>-2.5</c:v>
                </c:pt>
                <c:pt idx="16">
                  <c:v>0</c:v>
                </c:pt>
                <c:pt idx="17">
                  <c:v>2.5</c:v>
                </c:pt>
                <c:pt idx="18">
                  <c:v>5</c:v>
                </c:pt>
                <c:pt idx="19">
                  <c:v>7.5</c:v>
                </c:pt>
                <c:pt idx="20">
                  <c:v>10</c:v>
                </c:pt>
                <c:pt idx="21">
                  <c:v>12.5</c:v>
                </c:pt>
                <c:pt idx="22">
                  <c:v>15</c:v>
                </c:pt>
                <c:pt idx="23">
                  <c:v>17.5</c:v>
                </c:pt>
                <c:pt idx="24">
                  <c:v>20</c:v>
                </c:pt>
                <c:pt idx="25">
                  <c:v>17.5</c:v>
                </c:pt>
                <c:pt idx="26">
                  <c:v>15</c:v>
                </c:pt>
                <c:pt idx="27">
                  <c:v>12.5</c:v>
                </c:pt>
                <c:pt idx="28">
                  <c:v>10</c:v>
                </c:pt>
                <c:pt idx="29">
                  <c:v>7.5</c:v>
                </c:pt>
                <c:pt idx="30">
                  <c:v>5</c:v>
                </c:pt>
                <c:pt idx="31">
                  <c:v>2.5</c:v>
                </c:pt>
                <c:pt idx="32">
                  <c:v>0</c:v>
                </c:pt>
                <c:pt idx="33">
                  <c:v>-2.5</c:v>
                </c:pt>
                <c:pt idx="34">
                  <c:v>-5</c:v>
                </c:pt>
                <c:pt idx="35">
                  <c:v>-7.5</c:v>
                </c:pt>
                <c:pt idx="36">
                  <c:v>-10</c:v>
                </c:pt>
                <c:pt idx="37">
                  <c:v>-7.5</c:v>
                </c:pt>
                <c:pt idx="38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11-4E51-BFDA-949417C3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12864"/>
        <c:axId val="59414400"/>
      </c:lineChart>
      <c:catAx>
        <c:axId val="594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noFill/>
          </a:ln>
        </c:spPr>
        <c:txPr>
          <a:bodyPr rot="0" vert="wordArtVertRtl"/>
          <a:lstStyle/>
          <a:p>
            <a:pPr>
              <a:defRPr sz="1200" b="1"/>
            </a:pPr>
            <a:endParaRPr lang="ko-KR"/>
          </a:p>
        </c:txPr>
        <c:crossAx val="59414400"/>
        <c:crossesAt val="0"/>
        <c:auto val="1"/>
        <c:lblAlgn val="ctr"/>
        <c:lblOffset val="200"/>
        <c:tickMarkSkip val="10"/>
        <c:noMultiLvlLbl val="0"/>
      </c:catAx>
      <c:valAx>
        <c:axId val="5941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="1"/>
            </a:pPr>
            <a:endParaRPr lang="ko-KR"/>
          </a:p>
        </c:txPr>
        <c:crossAx val="59412864"/>
        <c:crosses val="autoZero"/>
        <c:crossBetween val="between"/>
        <c:min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25" r="0.25" t="0.75000000000000056" header="0.30000000000000027" footer="0.30000000000000027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936232217647063E-2"/>
          <c:y val="1.5180637634593685E-2"/>
          <c:w val="0.94601799344590431"/>
          <c:h val="0.73702702044833035"/>
        </c:manualLayout>
      </c:layout>
      <c:lineChart>
        <c:grouping val="standard"/>
        <c:varyColors val="0"/>
        <c:ser>
          <c:idx val="0"/>
          <c:order val="0"/>
          <c:tx>
            <c:strRef>
              <c:f>흐름주기!$B$41</c:f>
              <c:strCache>
                <c:ptCount val="1"/>
                <c:pt idx="0">
                  <c:v>심리</c:v>
                </c:pt>
              </c:strCache>
            </c:strRef>
          </c:tx>
          <c:marker>
            <c:symbol val="none"/>
          </c:marker>
          <c:cat>
            <c:multiLvlStrRef>
              <c:f>흐름주기!$D$45:$AO$47</c:f>
              <c:multiLvlStrCache>
                <c:ptCount val="38"/>
                <c:lvl>
                  <c:pt idx="0">
                    <c:v>-17세</c:v>
                  </c:pt>
                  <c:pt idx="1">
                    <c:v>-15세</c:v>
                  </c:pt>
                  <c:pt idx="2">
                    <c:v>-12세</c:v>
                  </c:pt>
                  <c:pt idx="3">
                    <c:v>-10세</c:v>
                  </c:pt>
                  <c:pt idx="4">
                    <c:v>-7세</c:v>
                  </c:pt>
                  <c:pt idx="5">
                    <c:v>-5세</c:v>
                  </c:pt>
                  <c:pt idx="6">
                    <c:v>-2세</c:v>
                  </c:pt>
                  <c:pt idx="7">
                    <c:v>0세</c:v>
                  </c:pt>
                  <c:pt idx="8">
                    <c:v>3세</c:v>
                  </c:pt>
                  <c:pt idx="9">
                    <c:v>5세</c:v>
                  </c:pt>
                  <c:pt idx="10">
                    <c:v>8세</c:v>
                  </c:pt>
                  <c:pt idx="11">
                    <c:v>10세</c:v>
                  </c:pt>
                  <c:pt idx="12">
                    <c:v>13세</c:v>
                  </c:pt>
                  <c:pt idx="13">
                    <c:v>15세</c:v>
                  </c:pt>
                  <c:pt idx="14">
                    <c:v>18세</c:v>
                  </c:pt>
                  <c:pt idx="15">
                    <c:v>20세</c:v>
                  </c:pt>
                  <c:pt idx="16">
                    <c:v>23세</c:v>
                  </c:pt>
                  <c:pt idx="17">
                    <c:v>25세</c:v>
                  </c:pt>
                  <c:pt idx="18">
                    <c:v>28세</c:v>
                  </c:pt>
                  <c:pt idx="19">
                    <c:v>30세</c:v>
                  </c:pt>
                  <c:pt idx="20">
                    <c:v>33세</c:v>
                  </c:pt>
                  <c:pt idx="21">
                    <c:v>35세</c:v>
                  </c:pt>
                  <c:pt idx="22">
                    <c:v>38세</c:v>
                  </c:pt>
                  <c:pt idx="23">
                    <c:v>40세</c:v>
                  </c:pt>
                  <c:pt idx="24">
                    <c:v>43세</c:v>
                  </c:pt>
                  <c:pt idx="25">
                    <c:v>45세</c:v>
                  </c:pt>
                  <c:pt idx="26">
                    <c:v>48세</c:v>
                  </c:pt>
                  <c:pt idx="27">
                    <c:v>50세</c:v>
                  </c:pt>
                  <c:pt idx="28">
                    <c:v>53세</c:v>
                  </c:pt>
                  <c:pt idx="29">
                    <c:v>55세</c:v>
                  </c:pt>
                  <c:pt idx="30">
                    <c:v>58세</c:v>
                  </c:pt>
                  <c:pt idx="31">
                    <c:v>60세</c:v>
                  </c:pt>
                  <c:pt idx="32">
                    <c:v>63세</c:v>
                  </c:pt>
                  <c:pt idx="33">
                    <c:v>65세</c:v>
                  </c:pt>
                  <c:pt idx="34">
                    <c:v>68세</c:v>
                  </c:pt>
                  <c:pt idx="35">
                    <c:v>70세</c:v>
                  </c:pt>
                  <c:pt idx="36">
                    <c:v>73세</c:v>
                  </c:pt>
                  <c:pt idx="37">
                    <c:v>75세</c:v>
                  </c:pt>
                </c:lvl>
                <c:lvl>
                  <c:pt idx="0">
                    <c:v>1937</c:v>
                  </c:pt>
                  <c:pt idx="1">
                    <c:v>1939</c:v>
                  </c:pt>
                  <c:pt idx="2">
                    <c:v>1942</c:v>
                  </c:pt>
                  <c:pt idx="3">
                    <c:v>1944</c:v>
                  </c:pt>
                  <c:pt idx="4">
                    <c:v>1947</c:v>
                  </c:pt>
                  <c:pt idx="5">
                    <c:v>1949</c:v>
                  </c:pt>
                  <c:pt idx="6">
                    <c:v>1952</c:v>
                  </c:pt>
                  <c:pt idx="7">
                    <c:v>1954</c:v>
                  </c:pt>
                  <c:pt idx="8">
                    <c:v>1957</c:v>
                  </c:pt>
                  <c:pt idx="9">
                    <c:v>1959</c:v>
                  </c:pt>
                  <c:pt idx="10">
                    <c:v>1962</c:v>
                  </c:pt>
                  <c:pt idx="11">
                    <c:v>1964</c:v>
                  </c:pt>
                  <c:pt idx="12">
                    <c:v>1967</c:v>
                  </c:pt>
                  <c:pt idx="13">
                    <c:v>1969</c:v>
                  </c:pt>
                  <c:pt idx="14">
                    <c:v>1972</c:v>
                  </c:pt>
                  <c:pt idx="15">
                    <c:v>1974</c:v>
                  </c:pt>
                  <c:pt idx="16">
                    <c:v>1977</c:v>
                  </c:pt>
                  <c:pt idx="17">
                    <c:v>1979</c:v>
                  </c:pt>
                  <c:pt idx="18">
                    <c:v>1982</c:v>
                  </c:pt>
                  <c:pt idx="19">
                    <c:v>1984</c:v>
                  </c:pt>
                  <c:pt idx="20">
                    <c:v>1987</c:v>
                  </c:pt>
                  <c:pt idx="21">
                    <c:v>1989</c:v>
                  </c:pt>
                  <c:pt idx="22">
                    <c:v>1992</c:v>
                  </c:pt>
                  <c:pt idx="23">
                    <c:v>1994</c:v>
                  </c:pt>
                  <c:pt idx="24">
                    <c:v>1997</c:v>
                  </c:pt>
                  <c:pt idx="25">
                    <c:v>1999</c:v>
                  </c:pt>
                  <c:pt idx="26">
                    <c:v>2002</c:v>
                  </c:pt>
                  <c:pt idx="27">
                    <c:v>2004</c:v>
                  </c:pt>
                  <c:pt idx="28">
                    <c:v>2007</c:v>
                  </c:pt>
                  <c:pt idx="29">
                    <c:v>2009</c:v>
                  </c:pt>
                  <c:pt idx="30">
                    <c:v>2012</c:v>
                  </c:pt>
                  <c:pt idx="31">
                    <c:v>2014</c:v>
                  </c:pt>
                  <c:pt idx="32">
                    <c:v>2017</c:v>
                  </c:pt>
                  <c:pt idx="33">
                    <c:v>2019</c:v>
                  </c:pt>
                  <c:pt idx="34">
                    <c:v>2022</c:v>
                  </c:pt>
                  <c:pt idx="35">
                    <c:v>2024</c:v>
                  </c:pt>
                  <c:pt idx="36">
                    <c:v>2027</c:v>
                  </c:pt>
                  <c:pt idx="37">
                    <c:v>2029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흐름주기!$C$41:$AO$41</c:f>
              <c:numCache>
                <c:formatCode>General</c:formatCode>
                <c:ptCount val="39"/>
                <c:pt idx="0">
                  <c:v>-10</c:v>
                </c:pt>
                <c:pt idx="1">
                  <c:v>-7.5</c:v>
                </c:pt>
                <c:pt idx="2">
                  <c:v>-5</c:v>
                </c:pt>
                <c:pt idx="3">
                  <c:v>-2.5</c:v>
                </c:pt>
                <c:pt idx="4">
                  <c:v>0</c:v>
                </c:pt>
                <c:pt idx="5">
                  <c:v>2.5</c:v>
                </c:pt>
                <c:pt idx="6">
                  <c:v>5</c:v>
                </c:pt>
                <c:pt idx="7">
                  <c:v>7.5</c:v>
                </c:pt>
                <c:pt idx="8">
                  <c:v>10</c:v>
                </c:pt>
                <c:pt idx="9">
                  <c:v>12.5</c:v>
                </c:pt>
                <c:pt idx="10">
                  <c:v>15</c:v>
                </c:pt>
                <c:pt idx="11">
                  <c:v>17.5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  <c:pt idx="21">
                  <c:v>-2.5</c:v>
                </c:pt>
                <c:pt idx="22">
                  <c:v>-5</c:v>
                </c:pt>
                <c:pt idx="23">
                  <c:v>-7.5</c:v>
                </c:pt>
                <c:pt idx="24">
                  <c:v>-10</c:v>
                </c:pt>
                <c:pt idx="25">
                  <c:v>-7.5</c:v>
                </c:pt>
                <c:pt idx="26">
                  <c:v>-5</c:v>
                </c:pt>
                <c:pt idx="27">
                  <c:v>-2.5</c:v>
                </c:pt>
                <c:pt idx="28">
                  <c:v>0</c:v>
                </c:pt>
                <c:pt idx="29">
                  <c:v>2.5</c:v>
                </c:pt>
                <c:pt idx="30">
                  <c:v>5</c:v>
                </c:pt>
                <c:pt idx="31">
                  <c:v>7.5</c:v>
                </c:pt>
                <c:pt idx="32">
                  <c:v>10</c:v>
                </c:pt>
                <c:pt idx="33">
                  <c:v>12.5</c:v>
                </c:pt>
                <c:pt idx="34">
                  <c:v>15</c:v>
                </c:pt>
                <c:pt idx="35">
                  <c:v>17.5</c:v>
                </c:pt>
                <c:pt idx="36">
                  <c:v>20</c:v>
                </c:pt>
                <c:pt idx="37">
                  <c:v>17.5</c:v>
                </c:pt>
                <c:pt idx="3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C-4A8B-B616-F79E1BDC580A}"/>
            </c:ext>
          </c:extLst>
        </c:ser>
        <c:ser>
          <c:idx val="1"/>
          <c:order val="1"/>
          <c:tx>
            <c:strRef>
              <c:f>흐름주기!$B$42</c:f>
              <c:strCache>
                <c:ptCount val="1"/>
                <c:pt idx="0">
                  <c:v>수단</c:v>
                </c:pt>
              </c:strCache>
            </c:strRef>
          </c:tx>
          <c:marker>
            <c:symbol val="none"/>
          </c:marker>
          <c:cat>
            <c:multiLvlStrRef>
              <c:f>흐름주기!$D$45:$AO$47</c:f>
              <c:multiLvlStrCache>
                <c:ptCount val="38"/>
                <c:lvl>
                  <c:pt idx="0">
                    <c:v>-17세</c:v>
                  </c:pt>
                  <c:pt idx="1">
                    <c:v>-15세</c:v>
                  </c:pt>
                  <c:pt idx="2">
                    <c:v>-12세</c:v>
                  </c:pt>
                  <c:pt idx="3">
                    <c:v>-10세</c:v>
                  </c:pt>
                  <c:pt idx="4">
                    <c:v>-7세</c:v>
                  </c:pt>
                  <c:pt idx="5">
                    <c:v>-5세</c:v>
                  </c:pt>
                  <c:pt idx="6">
                    <c:v>-2세</c:v>
                  </c:pt>
                  <c:pt idx="7">
                    <c:v>0세</c:v>
                  </c:pt>
                  <c:pt idx="8">
                    <c:v>3세</c:v>
                  </c:pt>
                  <c:pt idx="9">
                    <c:v>5세</c:v>
                  </c:pt>
                  <c:pt idx="10">
                    <c:v>8세</c:v>
                  </c:pt>
                  <c:pt idx="11">
                    <c:v>10세</c:v>
                  </c:pt>
                  <c:pt idx="12">
                    <c:v>13세</c:v>
                  </c:pt>
                  <c:pt idx="13">
                    <c:v>15세</c:v>
                  </c:pt>
                  <c:pt idx="14">
                    <c:v>18세</c:v>
                  </c:pt>
                  <c:pt idx="15">
                    <c:v>20세</c:v>
                  </c:pt>
                  <c:pt idx="16">
                    <c:v>23세</c:v>
                  </c:pt>
                  <c:pt idx="17">
                    <c:v>25세</c:v>
                  </c:pt>
                  <c:pt idx="18">
                    <c:v>28세</c:v>
                  </c:pt>
                  <c:pt idx="19">
                    <c:v>30세</c:v>
                  </c:pt>
                  <c:pt idx="20">
                    <c:v>33세</c:v>
                  </c:pt>
                  <c:pt idx="21">
                    <c:v>35세</c:v>
                  </c:pt>
                  <c:pt idx="22">
                    <c:v>38세</c:v>
                  </c:pt>
                  <c:pt idx="23">
                    <c:v>40세</c:v>
                  </c:pt>
                  <c:pt idx="24">
                    <c:v>43세</c:v>
                  </c:pt>
                  <c:pt idx="25">
                    <c:v>45세</c:v>
                  </c:pt>
                  <c:pt idx="26">
                    <c:v>48세</c:v>
                  </c:pt>
                  <c:pt idx="27">
                    <c:v>50세</c:v>
                  </c:pt>
                  <c:pt idx="28">
                    <c:v>53세</c:v>
                  </c:pt>
                  <c:pt idx="29">
                    <c:v>55세</c:v>
                  </c:pt>
                  <c:pt idx="30">
                    <c:v>58세</c:v>
                  </c:pt>
                  <c:pt idx="31">
                    <c:v>60세</c:v>
                  </c:pt>
                  <c:pt idx="32">
                    <c:v>63세</c:v>
                  </c:pt>
                  <c:pt idx="33">
                    <c:v>65세</c:v>
                  </c:pt>
                  <c:pt idx="34">
                    <c:v>68세</c:v>
                  </c:pt>
                  <c:pt idx="35">
                    <c:v>70세</c:v>
                  </c:pt>
                  <c:pt idx="36">
                    <c:v>73세</c:v>
                  </c:pt>
                  <c:pt idx="37">
                    <c:v>75세</c:v>
                  </c:pt>
                </c:lvl>
                <c:lvl>
                  <c:pt idx="0">
                    <c:v>1937</c:v>
                  </c:pt>
                  <c:pt idx="1">
                    <c:v>1939</c:v>
                  </c:pt>
                  <c:pt idx="2">
                    <c:v>1942</c:v>
                  </c:pt>
                  <c:pt idx="3">
                    <c:v>1944</c:v>
                  </c:pt>
                  <c:pt idx="4">
                    <c:v>1947</c:v>
                  </c:pt>
                  <c:pt idx="5">
                    <c:v>1949</c:v>
                  </c:pt>
                  <c:pt idx="6">
                    <c:v>1952</c:v>
                  </c:pt>
                  <c:pt idx="7">
                    <c:v>1954</c:v>
                  </c:pt>
                  <c:pt idx="8">
                    <c:v>1957</c:v>
                  </c:pt>
                  <c:pt idx="9">
                    <c:v>1959</c:v>
                  </c:pt>
                  <c:pt idx="10">
                    <c:v>1962</c:v>
                  </c:pt>
                  <c:pt idx="11">
                    <c:v>1964</c:v>
                  </c:pt>
                  <c:pt idx="12">
                    <c:v>1967</c:v>
                  </c:pt>
                  <c:pt idx="13">
                    <c:v>1969</c:v>
                  </c:pt>
                  <c:pt idx="14">
                    <c:v>1972</c:v>
                  </c:pt>
                  <c:pt idx="15">
                    <c:v>1974</c:v>
                  </c:pt>
                  <c:pt idx="16">
                    <c:v>1977</c:v>
                  </c:pt>
                  <c:pt idx="17">
                    <c:v>1979</c:v>
                  </c:pt>
                  <c:pt idx="18">
                    <c:v>1982</c:v>
                  </c:pt>
                  <c:pt idx="19">
                    <c:v>1984</c:v>
                  </c:pt>
                  <c:pt idx="20">
                    <c:v>1987</c:v>
                  </c:pt>
                  <c:pt idx="21">
                    <c:v>1989</c:v>
                  </c:pt>
                  <c:pt idx="22">
                    <c:v>1992</c:v>
                  </c:pt>
                  <c:pt idx="23">
                    <c:v>1994</c:v>
                  </c:pt>
                  <c:pt idx="24">
                    <c:v>1997</c:v>
                  </c:pt>
                  <c:pt idx="25">
                    <c:v>1999</c:v>
                  </c:pt>
                  <c:pt idx="26">
                    <c:v>2002</c:v>
                  </c:pt>
                  <c:pt idx="27">
                    <c:v>2004</c:v>
                  </c:pt>
                  <c:pt idx="28">
                    <c:v>2007</c:v>
                  </c:pt>
                  <c:pt idx="29">
                    <c:v>2009</c:v>
                  </c:pt>
                  <c:pt idx="30">
                    <c:v>2012</c:v>
                  </c:pt>
                  <c:pt idx="31">
                    <c:v>2014</c:v>
                  </c:pt>
                  <c:pt idx="32">
                    <c:v>2017</c:v>
                  </c:pt>
                  <c:pt idx="33">
                    <c:v>2019</c:v>
                  </c:pt>
                  <c:pt idx="34">
                    <c:v>2022</c:v>
                  </c:pt>
                  <c:pt idx="35">
                    <c:v>2024</c:v>
                  </c:pt>
                  <c:pt idx="36">
                    <c:v>2027</c:v>
                  </c:pt>
                  <c:pt idx="37">
                    <c:v>2029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흐름주기!$C$42:$AO$42</c:f>
              <c:numCache>
                <c:formatCode>General</c:formatCode>
                <c:ptCount val="39"/>
                <c:pt idx="4">
                  <c:v>-10</c:v>
                </c:pt>
                <c:pt idx="5">
                  <c:v>-7.5</c:v>
                </c:pt>
                <c:pt idx="6">
                  <c:v>-5</c:v>
                </c:pt>
                <c:pt idx="7">
                  <c:v>-2.5</c:v>
                </c:pt>
                <c:pt idx="8">
                  <c:v>0</c:v>
                </c:pt>
                <c:pt idx="9">
                  <c:v>2.5</c:v>
                </c:pt>
                <c:pt idx="10">
                  <c:v>5</c:v>
                </c:pt>
                <c:pt idx="11">
                  <c:v>7.5</c:v>
                </c:pt>
                <c:pt idx="12">
                  <c:v>10</c:v>
                </c:pt>
                <c:pt idx="13">
                  <c:v>12.5</c:v>
                </c:pt>
                <c:pt idx="14">
                  <c:v>15</c:v>
                </c:pt>
                <c:pt idx="15">
                  <c:v>17.5</c:v>
                </c:pt>
                <c:pt idx="16">
                  <c:v>20</c:v>
                </c:pt>
                <c:pt idx="17">
                  <c:v>17.5</c:v>
                </c:pt>
                <c:pt idx="18">
                  <c:v>15</c:v>
                </c:pt>
                <c:pt idx="19">
                  <c:v>12.5</c:v>
                </c:pt>
                <c:pt idx="20">
                  <c:v>10</c:v>
                </c:pt>
                <c:pt idx="21">
                  <c:v>7.5</c:v>
                </c:pt>
                <c:pt idx="22">
                  <c:v>5</c:v>
                </c:pt>
                <c:pt idx="23">
                  <c:v>2.5</c:v>
                </c:pt>
                <c:pt idx="24">
                  <c:v>0</c:v>
                </c:pt>
                <c:pt idx="25">
                  <c:v>-2.5</c:v>
                </c:pt>
                <c:pt idx="26">
                  <c:v>-5</c:v>
                </c:pt>
                <c:pt idx="27">
                  <c:v>-7.5</c:v>
                </c:pt>
                <c:pt idx="28">
                  <c:v>-10</c:v>
                </c:pt>
                <c:pt idx="29">
                  <c:v>-7.5</c:v>
                </c:pt>
                <c:pt idx="30">
                  <c:v>-5</c:v>
                </c:pt>
                <c:pt idx="31">
                  <c:v>-2.5</c:v>
                </c:pt>
                <c:pt idx="32">
                  <c:v>0</c:v>
                </c:pt>
                <c:pt idx="33">
                  <c:v>2.5</c:v>
                </c:pt>
                <c:pt idx="34">
                  <c:v>5</c:v>
                </c:pt>
                <c:pt idx="35">
                  <c:v>7.5</c:v>
                </c:pt>
                <c:pt idx="36">
                  <c:v>10</c:v>
                </c:pt>
                <c:pt idx="37">
                  <c:v>12.5</c:v>
                </c:pt>
                <c:pt idx="3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C-4A8B-B616-F79E1BDC580A}"/>
            </c:ext>
          </c:extLst>
        </c:ser>
        <c:ser>
          <c:idx val="2"/>
          <c:order val="2"/>
          <c:tx>
            <c:strRef>
              <c:f>흐름주기!$B$43</c:f>
              <c:strCache>
                <c:ptCount val="1"/>
                <c:pt idx="0">
                  <c:v>재물</c:v>
                </c:pt>
              </c:strCache>
            </c:strRef>
          </c:tx>
          <c:marker>
            <c:symbol val="none"/>
          </c:marker>
          <c:cat>
            <c:multiLvlStrRef>
              <c:f>흐름주기!$D$45:$AO$47</c:f>
              <c:multiLvlStrCache>
                <c:ptCount val="38"/>
                <c:lvl>
                  <c:pt idx="0">
                    <c:v>-17세</c:v>
                  </c:pt>
                  <c:pt idx="1">
                    <c:v>-15세</c:v>
                  </c:pt>
                  <c:pt idx="2">
                    <c:v>-12세</c:v>
                  </c:pt>
                  <c:pt idx="3">
                    <c:v>-10세</c:v>
                  </c:pt>
                  <c:pt idx="4">
                    <c:v>-7세</c:v>
                  </c:pt>
                  <c:pt idx="5">
                    <c:v>-5세</c:v>
                  </c:pt>
                  <c:pt idx="6">
                    <c:v>-2세</c:v>
                  </c:pt>
                  <c:pt idx="7">
                    <c:v>0세</c:v>
                  </c:pt>
                  <c:pt idx="8">
                    <c:v>3세</c:v>
                  </c:pt>
                  <c:pt idx="9">
                    <c:v>5세</c:v>
                  </c:pt>
                  <c:pt idx="10">
                    <c:v>8세</c:v>
                  </c:pt>
                  <c:pt idx="11">
                    <c:v>10세</c:v>
                  </c:pt>
                  <c:pt idx="12">
                    <c:v>13세</c:v>
                  </c:pt>
                  <c:pt idx="13">
                    <c:v>15세</c:v>
                  </c:pt>
                  <c:pt idx="14">
                    <c:v>18세</c:v>
                  </c:pt>
                  <c:pt idx="15">
                    <c:v>20세</c:v>
                  </c:pt>
                  <c:pt idx="16">
                    <c:v>23세</c:v>
                  </c:pt>
                  <c:pt idx="17">
                    <c:v>25세</c:v>
                  </c:pt>
                  <c:pt idx="18">
                    <c:v>28세</c:v>
                  </c:pt>
                  <c:pt idx="19">
                    <c:v>30세</c:v>
                  </c:pt>
                  <c:pt idx="20">
                    <c:v>33세</c:v>
                  </c:pt>
                  <c:pt idx="21">
                    <c:v>35세</c:v>
                  </c:pt>
                  <c:pt idx="22">
                    <c:v>38세</c:v>
                  </c:pt>
                  <c:pt idx="23">
                    <c:v>40세</c:v>
                  </c:pt>
                  <c:pt idx="24">
                    <c:v>43세</c:v>
                  </c:pt>
                  <c:pt idx="25">
                    <c:v>45세</c:v>
                  </c:pt>
                  <c:pt idx="26">
                    <c:v>48세</c:v>
                  </c:pt>
                  <c:pt idx="27">
                    <c:v>50세</c:v>
                  </c:pt>
                  <c:pt idx="28">
                    <c:v>53세</c:v>
                  </c:pt>
                  <c:pt idx="29">
                    <c:v>55세</c:v>
                  </c:pt>
                  <c:pt idx="30">
                    <c:v>58세</c:v>
                  </c:pt>
                  <c:pt idx="31">
                    <c:v>60세</c:v>
                  </c:pt>
                  <c:pt idx="32">
                    <c:v>63세</c:v>
                  </c:pt>
                  <c:pt idx="33">
                    <c:v>65세</c:v>
                  </c:pt>
                  <c:pt idx="34">
                    <c:v>68세</c:v>
                  </c:pt>
                  <c:pt idx="35">
                    <c:v>70세</c:v>
                  </c:pt>
                  <c:pt idx="36">
                    <c:v>73세</c:v>
                  </c:pt>
                  <c:pt idx="37">
                    <c:v>75세</c:v>
                  </c:pt>
                </c:lvl>
                <c:lvl>
                  <c:pt idx="0">
                    <c:v>1937</c:v>
                  </c:pt>
                  <c:pt idx="1">
                    <c:v>1939</c:v>
                  </c:pt>
                  <c:pt idx="2">
                    <c:v>1942</c:v>
                  </c:pt>
                  <c:pt idx="3">
                    <c:v>1944</c:v>
                  </c:pt>
                  <c:pt idx="4">
                    <c:v>1947</c:v>
                  </c:pt>
                  <c:pt idx="5">
                    <c:v>1949</c:v>
                  </c:pt>
                  <c:pt idx="6">
                    <c:v>1952</c:v>
                  </c:pt>
                  <c:pt idx="7">
                    <c:v>1954</c:v>
                  </c:pt>
                  <c:pt idx="8">
                    <c:v>1957</c:v>
                  </c:pt>
                  <c:pt idx="9">
                    <c:v>1959</c:v>
                  </c:pt>
                  <c:pt idx="10">
                    <c:v>1962</c:v>
                  </c:pt>
                  <c:pt idx="11">
                    <c:v>1964</c:v>
                  </c:pt>
                  <c:pt idx="12">
                    <c:v>1967</c:v>
                  </c:pt>
                  <c:pt idx="13">
                    <c:v>1969</c:v>
                  </c:pt>
                  <c:pt idx="14">
                    <c:v>1972</c:v>
                  </c:pt>
                  <c:pt idx="15">
                    <c:v>1974</c:v>
                  </c:pt>
                  <c:pt idx="16">
                    <c:v>1977</c:v>
                  </c:pt>
                  <c:pt idx="17">
                    <c:v>1979</c:v>
                  </c:pt>
                  <c:pt idx="18">
                    <c:v>1982</c:v>
                  </c:pt>
                  <c:pt idx="19">
                    <c:v>1984</c:v>
                  </c:pt>
                  <c:pt idx="20">
                    <c:v>1987</c:v>
                  </c:pt>
                  <c:pt idx="21">
                    <c:v>1989</c:v>
                  </c:pt>
                  <c:pt idx="22">
                    <c:v>1992</c:v>
                  </c:pt>
                  <c:pt idx="23">
                    <c:v>1994</c:v>
                  </c:pt>
                  <c:pt idx="24">
                    <c:v>1997</c:v>
                  </c:pt>
                  <c:pt idx="25">
                    <c:v>1999</c:v>
                  </c:pt>
                  <c:pt idx="26">
                    <c:v>2002</c:v>
                  </c:pt>
                  <c:pt idx="27">
                    <c:v>2004</c:v>
                  </c:pt>
                  <c:pt idx="28">
                    <c:v>2007</c:v>
                  </c:pt>
                  <c:pt idx="29">
                    <c:v>2009</c:v>
                  </c:pt>
                  <c:pt idx="30">
                    <c:v>2012</c:v>
                  </c:pt>
                  <c:pt idx="31">
                    <c:v>2014</c:v>
                  </c:pt>
                  <c:pt idx="32">
                    <c:v>2017</c:v>
                  </c:pt>
                  <c:pt idx="33">
                    <c:v>2019</c:v>
                  </c:pt>
                  <c:pt idx="34">
                    <c:v>2022</c:v>
                  </c:pt>
                  <c:pt idx="35">
                    <c:v>2024</c:v>
                  </c:pt>
                  <c:pt idx="36">
                    <c:v>2027</c:v>
                  </c:pt>
                  <c:pt idx="37">
                    <c:v>2029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흐름주기!$C$43:$AO$43</c:f>
              <c:numCache>
                <c:formatCode>General</c:formatCode>
                <c:ptCount val="39"/>
                <c:pt idx="8">
                  <c:v>-10</c:v>
                </c:pt>
                <c:pt idx="9">
                  <c:v>-7.5</c:v>
                </c:pt>
                <c:pt idx="10">
                  <c:v>-5</c:v>
                </c:pt>
                <c:pt idx="11">
                  <c:v>-2.5</c:v>
                </c:pt>
                <c:pt idx="12">
                  <c:v>0</c:v>
                </c:pt>
                <c:pt idx="13">
                  <c:v>2.5</c:v>
                </c:pt>
                <c:pt idx="14">
                  <c:v>5</c:v>
                </c:pt>
                <c:pt idx="15">
                  <c:v>7.5</c:v>
                </c:pt>
                <c:pt idx="16">
                  <c:v>10</c:v>
                </c:pt>
                <c:pt idx="17">
                  <c:v>12.5</c:v>
                </c:pt>
                <c:pt idx="18">
                  <c:v>15</c:v>
                </c:pt>
                <c:pt idx="19">
                  <c:v>17.5</c:v>
                </c:pt>
                <c:pt idx="20">
                  <c:v>20</c:v>
                </c:pt>
                <c:pt idx="21">
                  <c:v>17.5</c:v>
                </c:pt>
                <c:pt idx="22">
                  <c:v>15</c:v>
                </c:pt>
                <c:pt idx="23">
                  <c:v>12.5</c:v>
                </c:pt>
                <c:pt idx="24">
                  <c:v>10</c:v>
                </c:pt>
                <c:pt idx="25">
                  <c:v>7.5</c:v>
                </c:pt>
                <c:pt idx="26">
                  <c:v>5</c:v>
                </c:pt>
                <c:pt idx="27">
                  <c:v>2.5</c:v>
                </c:pt>
                <c:pt idx="28">
                  <c:v>0</c:v>
                </c:pt>
                <c:pt idx="29">
                  <c:v>-2.5</c:v>
                </c:pt>
                <c:pt idx="30">
                  <c:v>-5</c:v>
                </c:pt>
                <c:pt idx="31">
                  <c:v>-7.5</c:v>
                </c:pt>
                <c:pt idx="32">
                  <c:v>-10</c:v>
                </c:pt>
                <c:pt idx="33">
                  <c:v>-7.5</c:v>
                </c:pt>
                <c:pt idx="34">
                  <c:v>-5</c:v>
                </c:pt>
                <c:pt idx="35">
                  <c:v>-2.5</c:v>
                </c:pt>
                <c:pt idx="36">
                  <c:v>0</c:v>
                </c:pt>
                <c:pt idx="37">
                  <c:v>2.5</c:v>
                </c:pt>
                <c:pt idx="3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C-4A8B-B616-F79E1BDC580A}"/>
            </c:ext>
          </c:extLst>
        </c:ser>
        <c:ser>
          <c:idx val="3"/>
          <c:order val="3"/>
          <c:tx>
            <c:strRef>
              <c:f>흐름주기!$B$44</c:f>
              <c:strCache>
                <c:ptCount val="1"/>
                <c:pt idx="0">
                  <c:v>명예</c:v>
                </c:pt>
              </c:strCache>
            </c:strRef>
          </c:tx>
          <c:marker>
            <c:symbol val="none"/>
          </c:marker>
          <c:cat>
            <c:multiLvlStrRef>
              <c:f>흐름주기!$D$45:$AO$47</c:f>
              <c:multiLvlStrCache>
                <c:ptCount val="38"/>
                <c:lvl>
                  <c:pt idx="0">
                    <c:v>-17세</c:v>
                  </c:pt>
                  <c:pt idx="1">
                    <c:v>-15세</c:v>
                  </c:pt>
                  <c:pt idx="2">
                    <c:v>-12세</c:v>
                  </c:pt>
                  <c:pt idx="3">
                    <c:v>-10세</c:v>
                  </c:pt>
                  <c:pt idx="4">
                    <c:v>-7세</c:v>
                  </c:pt>
                  <c:pt idx="5">
                    <c:v>-5세</c:v>
                  </c:pt>
                  <c:pt idx="6">
                    <c:v>-2세</c:v>
                  </c:pt>
                  <c:pt idx="7">
                    <c:v>0세</c:v>
                  </c:pt>
                  <c:pt idx="8">
                    <c:v>3세</c:v>
                  </c:pt>
                  <c:pt idx="9">
                    <c:v>5세</c:v>
                  </c:pt>
                  <c:pt idx="10">
                    <c:v>8세</c:v>
                  </c:pt>
                  <c:pt idx="11">
                    <c:v>10세</c:v>
                  </c:pt>
                  <c:pt idx="12">
                    <c:v>13세</c:v>
                  </c:pt>
                  <c:pt idx="13">
                    <c:v>15세</c:v>
                  </c:pt>
                  <c:pt idx="14">
                    <c:v>18세</c:v>
                  </c:pt>
                  <c:pt idx="15">
                    <c:v>20세</c:v>
                  </c:pt>
                  <c:pt idx="16">
                    <c:v>23세</c:v>
                  </c:pt>
                  <c:pt idx="17">
                    <c:v>25세</c:v>
                  </c:pt>
                  <c:pt idx="18">
                    <c:v>28세</c:v>
                  </c:pt>
                  <c:pt idx="19">
                    <c:v>30세</c:v>
                  </c:pt>
                  <c:pt idx="20">
                    <c:v>33세</c:v>
                  </c:pt>
                  <c:pt idx="21">
                    <c:v>35세</c:v>
                  </c:pt>
                  <c:pt idx="22">
                    <c:v>38세</c:v>
                  </c:pt>
                  <c:pt idx="23">
                    <c:v>40세</c:v>
                  </c:pt>
                  <c:pt idx="24">
                    <c:v>43세</c:v>
                  </c:pt>
                  <c:pt idx="25">
                    <c:v>45세</c:v>
                  </c:pt>
                  <c:pt idx="26">
                    <c:v>48세</c:v>
                  </c:pt>
                  <c:pt idx="27">
                    <c:v>50세</c:v>
                  </c:pt>
                  <c:pt idx="28">
                    <c:v>53세</c:v>
                  </c:pt>
                  <c:pt idx="29">
                    <c:v>55세</c:v>
                  </c:pt>
                  <c:pt idx="30">
                    <c:v>58세</c:v>
                  </c:pt>
                  <c:pt idx="31">
                    <c:v>60세</c:v>
                  </c:pt>
                  <c:pt idx="32">
                    <c:v>63세</c:v>
                  </c:pt>
                  <c:pt idx="33">
                    <c:v>65세</c:v>
                  </c:pt>
                  <c:pt idx="34">
                    <c:v>68세</c:v>
                  </c:pt>
                  <c:pt idx="35">
                    <c:v>70세</c:v>
                  </c:pt>
                  <c:pt idx="36">
                    <c:v>73세</c:v>
                  </c:pt>
                  <c:pt idx="37">
                    <c:v>75세</c:v>
                  </c:pt>
                </c:lvl>
                <c:lvl>
                  <c:pt idx="0">
                    <c:v>1937</c:v>
                  </c:pt>
                  <c:pt idx="1">
                    <c:v>1939</c:v>
                  </c:pt>
                  <c:pt idx="2">
                    <c:v>1942</c:v>
                  </c:pt>
                  <c:pt idx="3">
                    <c:v>1944</c:v>
                  </c:pt>
                  <c:pt idx="4">
                    <c:v>1947</c:v>
                  </c:pt>
                  <c:pt idx="5">
                    <c:v>1949</c:v>
                  </c:pt>
                  <c:pt idx="6">
                    <c:v>1952</c:v>
                  </c:pt>
                  <c:pt idx="7">
                    <c:v>1954</c:v>
                  </c:pt>
                  <c:pt idx="8">
                    <c:v>1957</c:v>
                  </c:pt>
                  <c:pt idx="9">
                    <c:v>1959</c:v>
                  </c:pt>
                  <c:pt idx="10">
                    <c:v>1962</c:v>
                  </c:pt>
                  <c:pt idx="11">
                    <c:v>1964</c:v>
                  </c:pt>
                  <c:pt idx="12">
                    <c:v>1967</c:v>
                  </c:pt>
                  <c:pt idx="13">
                    <c:v>1969</c:v>
                  </c:pt>
                  <c:pt idx="14">
                    <c:v>1972</c:v>
                  </c:pt>
                  <c:pt idx="15">
                    <c:v>1974</c:v>
                  </c:pt>
                  <c:pt idx="16">
                    <c:v>1977</c:v>
                  </c:pt>
                  <c:pt idx="17">
                    <c:v>1979</c:v>
                  </c:pt>
                  <c:pt idx="18">
                    <c:v>1982</c:v>
                  </c:pt>
                  <c:pt idx="19">
                    <c:v>1984</c:v>
                  </c:pt>
                  <c:pt idx="20">
                    <c:v>1987</c:v>
                  </c:pt>
                  <c:pt idx="21">
                    <c:v>1989</c:v>
                  </c:pt>
                  <c:pt idx="22">
                    <c:v>1992</c:v>
                  </c:pt>
                  <c:pt idx="23">
                    <c:v>1994</c:v>
                  </c:pt>
                  <c:pt idx="24">
                    <c:v>1997</c:v>
                  </c:pt>
                  <c:pt idx="25">
                    <c:v>1999</c:v>
                  </c:pt>
                  <c:pt idx="26">
                    <c:v>2002</c:v>
                  </c:pt>
                  <c:pt idx="27">
                    <c:v>2004</c:v>
                  </c:pt>
                  <c:pt idx="28">
                    <c:v>2007</c:v>
                  </c:pt>
                  <c:pt idx="29">
                    <c:v>2009</c:v>
                  </c:pt>
                  <c:pt idx="30">
                    <c:v>2012</c:v>
                  </c:pt>
                  <c:pt idx="31">
                    <c:v>2014</c:v>
                  </c:pt>
                  <c:pt idx="32">
                    <c:v>2017</c:v>
                  </c:pt>
                  <c:pt idx="33">
                    <c:v>2019</c:v>
                  </c:pt>
                  <c:pt idx="34">
                    <c:v>2022</c:v>
                  </c:pt>
                  <c:pt idx="35">
                    <c:v>2024</c:v>
                  </c:pt>
                  <c:pt idx="36">
                    <c:v>2027</c:v>
                  </c:pt>
                  <c:pt idx="37">
                    <c:v>2029</c:v>
                  </c:pt>
                </c:lvl>
                <c:lvl>
                  <c:pt idx="0">
                    <c:v>입춘 </c:v>
                  </c:pt>
                  <c:pt idx="1">
                    <c:v>우수</c:v>
                  </c:pt>
                  <c:pt idx="2">
                    <c:v>경칩</c:v>
                  </c:pt>
                  <c:pt idx="3">
                    <c:v>춘분</c:v>
                  </c:pt>
                  <c:pt idx="4">
                    <c:v>청명</c:v>
                  </c:pt>
                  <c:pt idx="5">
                    <c:v>곡우</c:v>
                  </c:pt>
                  <c:pt idx="6">
                    <c:v>입하</c:v>
                  </c:pt>
                  <c:pt idx="7">
                    <c:v>소만</c:v>
                  </c:pt>
                  <c:pt idx="8">
                    <c:v>망종</c:v>
                  </c:pt>
                  <c:pt idx="9">
                    <c:v>하지</c:v>
                  </c:pt>
                  <c:pt idx="10">
                    <c:v>소서</c:v>
                  </c:pt>
                  <c:pt idx="11">
                    <c:v>대서</c:v>
                  </c:pt>
                  <c:pt idx="12">
                    <c:v>입추</c:v>
                  </c:pt>
                  <c:pt idx="13">
                    <c:v>처서</c:v>
                  </c:pt>
                  <c:pt idx="14">
                    <c:v>백로</c:v>
                  </c:pt>
                  <c:pt idx="15">
                    <c:v>추분</c:v>
                  </c:pt>
                  <c:pt idx="16">
                    <c:v>한로</c:v>
                  </c:pt>
                  <c:pt idx="17">
                    <c:v>상강</c:v>
                  </c:pt>
                  <c:pt idx="18">
                    <c:v>입동</c:v>
                  </c:pt>
                  <c:pt idx="19">
                    <c:v>소설</c:v>
                  </c:pt>
                  <c:pt idx="20">
                    <c:v>대설</c:v>
                  </c:pt>
                  <c:pt idx="21">
                    <c:v>동지</c:v>
                  </c:pt>
                  <c:pt idx="22">
                    <c:v>소한 </c:v>
                  </c:pt>
                  <c:pt idx="23">
                    <c:v>대한</c:v>
                  </c:pt>
                  <c:pt idx="24">
                    <c:v>입춘</c:v>
                  </c:pt>
                  <c:pt idx="25">
                    <c:v>우수</c:v>
                  </c:pt>
                  <c:pt idx="26">
                    <c:v>경칩</c:v>
                  </c:pt>
                  <c:pt idx="27">
                    <c:v>춘분</c:v>
                  </c:pt>
                  <c:pt idx="28">
                    <c:v>청명</c:v>
                  </c:pt>
                  <c:pt idx="29">
                    <c:v>곡우</c:v>
                  </c:pt>
                  <c:pt idx="30">
                    <c:v>입하</c:v>
                  </c:pt>
                  <c:pt idx="31">
                    <c:v>소만</c:v>
                  </c:pt>
                  <c:pt idx="32">
                    <c:v>망종</c:v>
                  </c:pt>
                  <c:pt idx="33">
                    <c:v>하지</c:v>
                  </c:pt>
                  <c:pt idx="34">
                    <c:v>소서</c:v>
                  </c:pt>
                  <c:pt idx="35">
                    <c:v>대서</c:v>
                  </c:pt>
                  <c:pt idx="36">
                    <c:v>입추</c:v>
                  </c:pt>
                  <c:pt idx="37">
                    <c:v>처서</c:v>
                  </c:pt>
                </c:lvl>
              </c:multiLvlStrCache>
            </c:multiLvlStrRef>
          </c:cat>
          <c:val>
            <c:numRef>
              <c:f>흐름주기!$C$44:$AO$44</c:f>
              <c:numCache>
                <c:formatCode>General</c:formatCode>
                <c:ptCount val="39"/>
                <c:pt idx="12">
                  <c:v>-10</c:v>
                </c:pt>
                <c:pt idx="13">
                  <c:v>-7.5</c:v>
                </c:pt>
                <c:pt idx="14">
                  <c:v>-5</c:v>
                </c:pt>
                <c:pt idx="15">
                  <c:v>-2.5</c:v>
                </c:pt>
                <c:pt idx="16">
                  <c:v>0</c:v>
                </c:pt>
                <c:pt idx="17">
                  <c:v>2.5</c:v>
                </c:pt>
                <c:pt idx="18">
                  <c:v>5</c:v>
                </c:pt>
                <c:pt idx="19">
                  <c:v>7.5</c:v>
                </c:pt>
                <c:pt idx="20">
                  <c:v>10</c:v>
                </c:pt>
                <c:pt idx="21">
                  <c:v>12.5</c:v>
                </c:pt>
                <c:pt idx="22">
                  <c:v>15</c:v>
                </c:pt>
                <c:pt idx="23">
                  <c:v>17.5</c:v>
                </c:pt>
                <c:pt idx="24">
                  <c:v>20</c:v>
                </c:pt>
                <c:pt idx="25">
                  <c:v>17.5</c:v>
                </c:pt>
                <c:pt idx="26">
                  <c:v>15</c:v>
                </c:pt>
                <c:pt idx="27">
                  <c:v>12.5</c:v>
                </c:pt>
                <c:pt idx="28">
                  <c:v>10</c:v>
                </c:pt>
                <c:pt idx="29">
                  <c:v>7.5</c:v>
                </c:pt>
                <c:pt idx="30">
                  <c:v>5</c:v>
                </c:pt>
                <c:pt idx="31">
                  <c:v>2.5</c:v>
                </c:pt>
                <c:pt idx="32">
                  <c:v>0</c:v>
                </c:pt>
                <c:pt idx="33">
                  <c:v>-2.5</c:v>
                </c:pt>
                <c:pt idx="34">
                  <c:v>-5</c:v>
                </c:pt>
                <c:pt idx="35">
                  <c:v>-7.5</c:v>
                </c:pt>
                <c:pt idx="36">
                  <c:v>-10</c:v>
                </c:pt>
                <c:pt idx="37">
                  <c:v>-7.5</c:v>
                </c:pt>
                <c:pt idx="38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C-4A8B-B616-F79E1BDC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14880"/>
        <c:axId val="59516416"/>
      </c:lineChart>
      <c:catAx>
        <c:axId val="595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noFill/>
          </a:ln>
        </c:spPr>
        <c:txPr>
          <a:bodyPr rot="0" vert="wordArtVertRtl"/>
          <a:lstStyle/>
          <a:p>
            <a:pPr>
              <a:defRPr sz="1200" b="1"/>
            </a:pPr>
            <a:endParaRPr lang="ko-KR"/>
          </a:p>
        </c:txPr>
        <c:crossAx val="59516416"/>
        <c:crossesAt val="0"/>
        <c:auto val="1"/>
        <c:lblAlgn val="ctr"/>
        <c:lblOffset val="200"/>
        <c:tickMarkSkip val="10"/>
        <c:noMultiLvlLbl val="0"/>
      </c:catAx>
      <c:valAx>
        <c:axId val="59516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="1"/>
            </a:pPr>
            <a:endParaRPr lang="ko-KR"/>
          </a:p>
        </c:txPr>
        <c:crossAx val="59514880"/>
        <c:crosses val="autoZero"/>
        <c:crossBetween val="between"/>
        <c:min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25" r="0.25" t="0.75000000000000056" header="0.30000000000000027" footer="0.30000000000000027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489860</xdr:colOff>
      <xdr:row>6</xdr:row>
      <xdr:rowOff>159203</xdr:rowOff>
    </xdr:from>
    <xdr:to>
      <xdr:col>31</xdr:col>
      <xdr:colOff>1</xdr:colOff>
      <xdr:row>44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</xdr:col>
      <xdr:colOff>272145</xdr:colOff>
      <xdr:row>24</xdr:row>
      <xdr:rowOff>27214</xdr:rowOff>
    </xdr:from>
    <xdr:to>
      <xdr:col>29</xdr:col>
      <xdr:colOff>381000</xdr:colOff>
      <xdr:row>24</xdr:row>
      <xdr:rowOff>27214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52502" y="5837464"/>
          <a:ext cx="14627677" cy="0"/>
        </a:xfrm>
        <a:prstGeom prst="line">
          <a:avLst/>
        </a:prstGeom>
        <a:ln w="508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489859</xdr:colOff>
      <xdr:row>6</xdr:row>
      <xdr:rowOff>159203</xdr:rowOff>
    </xdr:from>
    <xdr:to>
      <xdr:col>31</xdr:col>
      <xdr:colOff>17318</xdr:colOff>
      <xdr:row>44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0.03181</cdr:x>
      <cdr:y>0.48904</cdr:y>
    </cdr:from>
    <cdr:to>
      <cdr:x>0.97457</cdr:x>
      <cdr:y>0.48904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AB96FD57-2DBD-497F-A1E1-BCD6BDC63D8F}"/>
            </a:ext>
          </a:extLst>
        </cdr:cNvPr>
        <cdr:cNvCxnSpPr/>
      </cdr:nvCxnSpPr>
      <cdr:spPr>
        <a:xfrm xmlns:a="http://schemas.openxmlformats.org/drawingml/2006/main">
          <a:off x="493589" y="4200983"/>
          <a:ext cx="14627725" cy="0"/>
        </a:xfrm>
        <a:prstGeom xmlns:a="http://schemas.openxmlformats.org/drawingml/2006/main" prst="line">
          <a:avLst/>
        </a:prstGeom>
        <a:ln xmlns:a="http://schemas.openxmlformats.org/drawingml/2006/main" w="508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489859</xdr:colOff>
      <xdr:row>6</xdr:row>
      <xdr:rowOff>159203</xdr:rowOff>
    </xdr:from>
    <xdr:to>
      <xdr:col>31</xdr:col>
      <xdr:colOff>40821</xdr:colOff>
      <xdr:row>44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0.02977</cdr:x>
      <cdr:y>0.48746</cdr:y>
    </cdr:from>
    <cdr:to>
      <cdr:x>0.9711</cdr:x>
      <cdr:y>0.48746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4F3B21C3-0283-296C-C98B-A79DE590132A}"/>
            </a:ext>
          </a:extLst>
        </cdr:cNvPr>
        <cdr:cNvCxnSpPr/>
      </cdr:nvCxnSpPr>
      <cdr:spPr>
        <a:xfrm xmlns:a="http://schemas.openxmlformats.org/drawingml/2006/main">
          <a:off x="462607" y="4187375"/>
          <a:ext cx="14627661" cy="0"/>
        </a:xfrm>
        <a:prstGeom xmlns:a="http://schemas.openxmlformats.org/drawingml/2006/main" prst="line">
          <a:avLst/>
        </a:prstGeom>
        <a:ln xmlns:a="http://schemas.openxmlformats.org/drawingml/2006/main" w="508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489860</xdr:colOff>
      <xdr:row>6</xdr:row>
      <xdr:rowOff>159203</xdr:rowOff>
    </xdr:from>
    <xdr:to>
      <xdr:col>31</xdr:col>
      <xdr:colOff>108857</xdr:colOff>
      <xdr:row>44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0.03051</cdr:x>
      <cdr:y>0.47573</cdr:y>
    </cdr:from>
    <cdr:to>
      <cdr:x>0.96774</cdr:x>
      <cdr:y>0.47573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F1345DA6-2971-8B92-F892-8A5BA8DD0BC0}"/>
            </a:ext>
          </a:extLst>
        </cdr:cNvPr>
        <cdr:cNvCxnSpPr/>
      </cdr:nvCxnSpPr>
      <cdr:spPr>
        <a:xfrm xmlns:a="http://schemas.openxmlformats.org/drawingml/2006/main">
          <a:off x="476249" y="4377871"/>
          <a:ext cx="14627677" cy="0"/>
        </a:xfrm>
        <a:prstGeom xmlns:a="http://schemas.openxmlformats.org/drawingml/2006/main" prst="line">
          <a:avLst/>
        </a:prstGeom>
        <a:ln xmlns:a="http://schemas.openxmlformats.org/drawingml/2006/main" w="508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7"/>
  <sheetViews>
    <sheetView tabSelected="1" topLeftCell="A3" zoomScale="70" zoomScaleNormal="70" workbookViewId="0">
      <selection activeCell="C7" sqref="C7"/>
    </sheetView>
  </sheetViews>
  <sheetFormatPr defaultColWidth="9" defaultRowHeight="18" customHeight="1"/>
  <cols>
    <col min="1" max="1" width="8.83203125" style="3" customWidth="1"/>
    <col min="2" max="2" width="36.5" style="3" bestFit="1" customWidth="1"/>
    <col min="3" max="3" width="19.33203125" style="3" customWidth="1"/>
    <col min="4" max="32" width="5.08203125" style="3" customWidth="1"/>
    <col min="33" max="34" width="5.08203125" style="4" customWidth="1"/>
    <col min="35" max="16384" width="9" style="4"/>
  </cols>
  <sheetData>
    <row r="1" spans="1:34" ht="38.25" customHeight="1">
      <c r="A1" s="25" t="s">
        <v>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ht="18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ht="18" customHeight="1">
      <c r="B3" s="14" t="s">
        <v>31</v>
      </c>
      <c r="C3" s="15">
        <v>5021</v>
      </c>
    </row>
    <row r="4" spans="1:34" ht="18" customHeight="1">
      <c r="B4" s="16" t="s">
        <v>32</v>
      </c>
      <c r="C4" s="17">
        <v>10</v>
      </c>
    </row>
    <row r="5" spans="1:34" ht="18" customHeight="1">
      <c r="B5" s="16" t="s">
        <v>29</v>
      </c>
      <c r="C5" s="18" t="s">
        <v>40</v>
      </c>
    </row>
    <row r="6" spans="1:34" ht="18" customHeight="1" thickBot="1">
      <c r="B6" s="19" t="s">
        <v>33</v>
      </c>
      <c r="C6" s="24">
        <v>8</v>
      </c>
    </row>
    <row r="7" spans="1:34" ht="18" customHeight="1">
      <c r="C7" s="3" t="s">
        <v>41</v>
      </c>
      <c r="G7" s="6"/>
      <c r="H7" s="5"/>
      <c r="I7" s="5"/>
      <c r="J7" s="5"/>
      <c r="K7" s="5"/>
      <c r="N7" s="6"/>
      <c r="O7" s="5"/>
      <c r="P7" s="5"/>
      <c r="Q7" s="5"/>
      <c r="R7" s="5"/>
      <c r="V7" s="6"/>
      <c r="W7" s="5"/>
      <c r="X7" s="5"/>
      <c r="Y7" s="5"/>
      <c r="Z7" s="5"/>
    </row>
    <row r="8" spans="1:34" ht="18" customHeight="1">
      <c r="G8" s="7"/>
    </row>
    <row r="9" spans="1:34" ht="18" customHeight="1">
      <c r="G9" s="8"/>
      <c r="N9" s="8"/>
      <c r="O9" s="8"/>
      <c r="P9" s="8"/>
      <c r="Q9" s="8"/>
      <c r="R9" s="8"/>
      <c r="V9" s="8"/>
    </row>
    <row r="10" spans="1:34" ht="18" customHeight="1">
      <c r="N10" s="8"/>
      <c r="O10" s="8"/>
      <c r="P10" s="8"/>
      <c r="Q10" s="8"/>
      <c r="R10" s="8"/>
    </row>
    <row r="13" spans="1:34" ht="18" customHeight="1">
      <c r="B13" s="1"/>
      <c r="C13" s="2"/>
      <c r="D13" s="2"/>
      <c r="E13" s="2"/>
      <c r="F13" s="2"/>
    </row>
    <row r="33" spans="1:51" s="9" customFormat="1" ht="18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4"/>
      <c r="AK33" s="4"/>
    </row>
    <row r="40" spans="1:51" ht="25.5">
      <c r="A40" s="20" t="s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2"/>
      <c r="AI40" s="12"/>
      <c r="AJ40" s="12"/>
      <c r="AK40" s="12"/>
      <c r="AL40" s="12"/>
      <c r="AM40" s="12"/>
      <c r="AN40" s="12"/>
    </row>
    <row r="41" spans="1:51" ht="25.5">
      <c r="A41" s="21" t="s">
        <v>26</v>
      </c>
      <c r="B41" s="10">
        <v>-10</v>
      </c>
      <c r="C41" s="10">
        <v>-7.5</v>
      </c>
      <c r="D41" s="10">
        <v>-5</v>
      </c>
      <c r="E41" s="10">
        <v>-2.5</v>
      </c>
      <c r="F41" s="10">
        <v>0</v>
      </c>
      <c r="G41" s="10">
        <v>2.5</v>
      </c>
      <c r="H41" s="10">
        <v>5</v>
      </c>
      <c r="I41" s="10">
        <v>7.5</v>
      </c>
      <c r="J41" s="10">
        <v>10</v>
      </c>
      <c r="K41" s="10">
        <v>12.5</v>
      </c>
      <c r="L41" s="10">
        <v>15</v>
      </c>
      <c r="M41" s="10">
        <v>17.5</v>
      </c>
      <c r="N41" s="10">
        <v>20</v>
      </c>
      <c r="O41" s="11">
        <v>17.5</v>
      </c>
      <c r="P41" s="10">
        <v>15</v>
      </c>
      <c r="Q41" s="11">
        <v>12.5</v>
      </c>
      <c r="R41" s="10">
        <v>10</v>
      </c>
      <c r="S41" s="11">
        <v>7.5</v>
      </c>
      <c r="T41" s="10">
        <v>5</v>
      </c>
      <c r="U41" s="11">
        <v>2.5</v>
      </c>
      <c r="V41" s="10">
        <v>0</v>
      </c>
      <c r="W41" s="11">
        <v>-2.5</v>
      </c>
      <c r="X41" s="10">
        <v>-5</v>
      </c>
      <c r="Y41" s="11">
        <v>-7.5</v>
      </c>
      <c r="Z41" s="10">
        <v>-10</v>
      </c>
      <c r="AA41" s="10">
        <v>-7.5</v>
      </c>
      <c r="AB41" s="10">
        <v>-5</v>
      </c>
      <c r="AC41" s="10">
        <v>-2.5</v>
      </c>
      <c r="AD41" s="10">
        <v>0</v>
      </c>
      <c r="AE41" s="10">
        <v>2.5</v>
      </c>
      <c r="AF41" s="12">
        <v>5</v>
      </c>
      <c r="AG41" s="10">
        <v>7.5</v>
      </c>
      <c r="AH41" s="12">
        <v>10</v>
      </c>
      <c r="AI41" s="10">
        <v>12.5</v>
      </c>
      <c r="AJ41" s="12">
        <v>15</v>
      </c>
      <c r="AK41" s="10">
        <v>17.5</v>
      </c>
      <c r="AL41" s="12">
        <v>20</v>
      </c>
      <c r="AM41" s="12">
        <v>17.5</v>
      </c>
      <c r="AN41" s="12">
        <v>15</v>
      </c>
    </row>
    <row r="42" spans="1:51" ht="21.75" hidden="1" customHeight="1">
      <c r="A42" s="21" t="s">
        <v>30</v>
      </c>
      <c r="B42" s="10"/>
      <c r="C42" s="10"/>
      <c r="D42" s="10"/>
      <c r="E42" s="10"/>
      <c r="F42" s="10">
        <v>-10</v>
      </c>
      <c r="G42" s="10">
        <v>-7.5</v>
      </c>
      <c r="H42" s="10">
        <v>-5</v>
      </c>
      <c r="I42" s="10">
        <v>-2.5</v>
      </c>
      <c r="J42" s="10">
        <v>0</v>
      </c>
      <c r="K42" s="10">
        <v>2.5</v>
      </c>
      <c r="L42" s="10">
        <v>5</v>
      </c>
      <c r="M42" s="10">
        <v>7.5</v>
      </c>
      <c r="N42" s="10">
        <v>10</v>
      </c>
      <c r="O42" s="10">
        <v>12.5</v>
      </c>
      <c r="P42" s="10">
        <v>15</v>
      </c>
      <c r="Q42" s="10">
        <v>17.5</v>
      </c>
      <c r="R42" s="10">
        <v>20</v>
      </c>
      <c r="S42" s="10">
        <v>17.5</v>
      </c>
      <c r="T42" s="10">
        <v>15</v>
      </c>
      <c r="U42" s="10">
        <v>12.5</v>
      </c>
      <c r="V42" s="10">
        <v>10</v>
      </c>
      <c r="W42" s="10">
        <v>7.5</v>
      </c>
      <c r="X42" s="10">
        <v>5</v>
      </c>
      <c r="Y42" s="10">
        <v>2.5</v>
      </c>
      <c r="Z42" s="10">
        <v>0</v>
      </c>
      <c r="AA42" s="10">
        <v>-2.5</v>
      </c>
      <c r="AB42" s="10">
        <v>-5</v>
      </c>
      <c r="AC42" s="10">
        <v>-7.5</v>
      </c>
      <c r="AD42" s="10">
        <v>-10</v>
      </c>
      <c r="AE42" s="10">
        <v>-7.5</v>
      </c>
      <c r="AF42" s="10">
        <v>-5</v>
      </c>
      <c r="AG42" s="10">
        <v>-2.5</v>
      </c>
      <c r="AH42" s="10">
        <v>0</v>
      </c>
      <c r="AI42" s="10">
        <v>2.5</v>
      </c>
      <c r="AJ42" s="10">
        <v>5</v>
      </c>
      <c r="AK42" s="10">
        <v>7.5</v>
      </c>
      <c r="AL42" s="10">
        <v>10</v>
      </c>
      <c r="AM42" s="10">
        <v>12.5</v>
      </c>
      <c r="AN42" s="10">
        <v>15</v>
      </c>
    </row>
    <row r="43" spans="1:51" ht="25.5" hidden="1">
      <c r="A43" s="21" t="s">
        <v>27</v>
      </c>
      <c r="B43" s="10"/>
      <c r="C43" s="10"/>
      <c r="D43" s="10"/>
      <c r="E43" s="10"/>
      <c r="F43" s="10"/>
      <c r="G43" s="10"/>
      <c r="H43" s="10"/>
      <c r="I43" s="10"/>
      <c r="J43" s="10">
        <v>-10</v>
      </c>
      <c r="K43" s="10">
        <v>-7.5</v>
      </c>
      <c r="L43" s="10">
        <v>-5</v>
      </c>
      <c r="M43" s="10">
        <v>-2.5</v>
      </c>
      <c r="N43" s="10">
        <v>0</v>
      </c>
      <c r="O43" s="10">
        <v>2.5</v>
      </c>
      <c r="P43" s="10">
        <v>5</v>
      </c>
      <c r="Q43" s="10">
        <v>7.5</v>
      </c>
      <c r="R43" s="10">
        <v>10</v>
      </c>
      <c r="S43" s="10">
        <v>12.5</v>
      </c>
      <c r="T43" s="10">
        <v>15</v>
      </c>
      <c r="U43" s="10">
        <v>17.5</v>
      </c>
      <c r="V43" s="10">
        <v>20</v>
      </c>
      <c r="W43" s="12">
        <v>17.5</v>
      </c>
      <c r="X43" s="10">
        <v>15</v>
      </c>
      <c r="Y43" s="12">
        <v>12.5</v>
      </c>
      <c r="Z43" s="10">
        <v>10</v>
      </c>
      <c r="AA43" s="12">
        <v>7.5</v>
      </c>
      <c r="AB43" s="10">
        <v>5</v>
      </c>
      <c r="AC43" s="12">
        <v>2.5</v>
      </c>
      <c r="AD43" s="10">
        <v>0</v>
      </c>
      <c r="AE43" s="12">
        <v>-2.5</v>
      </c>
      <c r="AF43" s="10">
        <v>-5</v>
      </c>
      <c r="AG43" s="12">
        <v>-7.5</v>
      </c>
      <c r="AH43" s="10">
        <v>-10</v>
      </c>
      <c r="AI43" s="23">
        <v>-7.5</v>
      </c>
      <c r="AJ43" s="10">
        <v>-5</v>
      </c>
      <c r="AK43" s="23">
        <v>-2.5</v>
      </c>
      <c r="AL43" s="10">
        <v>0</v>
      </c>
      <c r="AM43" s="23">
        <v>2.5</v>
      </c>
      <c r="AN43" s="10">
        <v>5</v>
      </c>
    </row>
    <row r="44" spans="1:51" ht="25.5" hidden="1">
      <c r="A44" s="21" t="s">
        <v>28</v>
      </c>
      <c r="B44" s="12"/>
      <c r="C44" s="12"/>
      <c r="D44" s="12"/>
      <c r="E44" s="12"/>
      <c r="F44" s="12"/>
      <c r="G44" s="13"/>
      <c r="H44" s="10"/>
      <c r="I44" s="10"/>
      <c r="J44" s="10"/>
      <c r="K44" s="10"/>
      <c r="L44" s="10"/>
      <c r="M44" s="10"/>
      <c r="N44" s="10">
        <v>-10</v>
      </c>
      <c r="O44" s="10">
        <v>-7.5</v>
      </c>
      <c r="P44" s="10">
        <v>-5</v>
      </c>
      <c r="Q44" s="10">
        <v>-2.5</v>
      </c>
      <c r="R44" s="10">
        <v>0</v>
      </c>
      <c r="S44" s="10">
        <v>2.5</v>
      </c>
      <c r="T44" s="10">
        <v>5</v>
      </c>
      <c r="U44" s="10">
        <v>7.5</v>
      </c>
      <c r="V44" s="10">
        <v>10</v>
      </c>
      <c r="W44" s="10">
        <v>12.5</v>
      </c>
      <c r="X44" s="10">
        <v>15</v>
      </c>
      <c r="Y44" s="10">
        <v>17.5</v>
      </c>
      <c r="Z44" s="10">
        <v>20</v>
      </c>
      <c r="AA44" s="10">
        <v>17.5</v>
      </c>
      <c r="AB44" s="10">
        <v>15</v>
      </c>
      <c r="AC44" s="10">
        <v>12.5</v>
      </c>
      <c r="AD44" s="10">
        <v>10</v>
      </c>
      <c r="AE44" s="10">
        <v>7.5</v>
      </c>
      <c r="AF44" s="10">
        <v>5</v>
      </c>
      <c r="AG44" s="10">
        <v>2.5</v>
      </c>
      <c r="AH44" s="10">
        <v>0</v>
      </c>
      <c r="AI44" s="10">
        <v>-2.5</v>
      </c>
      <c r="AJ44" s="10">
        <v>-5</v>
      </c>
      <c r="AK44" s="10">
        <v>-7.5</v>
      </c>
      <c r="AL44" s="10">
        <v>-10</v>
      </c>
      <c r="AM44" s="12">
        <v>-7.5</v>
      </c>
      <c r="AN44" s="10">
        <v>-5</v>
      </c>
    </row>
    <row r="45" spans="1:51" ht="18" customHeight="1">
      <c r="A45" s="10"/>
      <c r="B45" s="10" t="s">
        <v>1</v>
      </c>
      <c r="C45" s="10" t="s">
        <v>2</v>
      </c>
      <c r="D45" s="10" t="s">
        <v>3</v>
      </c>
      <c r="E45" s="10" t="s">
        <v>4</v>
      </c>
      <c r="F45" s="10" t="s">
        <v>5</v>
      </c>
      <c r="G45" s="10" t="s">
        <v>6</v>
      </c>
      <c r="H45" s="10" t="s">
        <v>7</v>
      </c>
      <c r="I45" s="10" t="s">
        <v>8</v>
      </c>
      <c r="J45" s="10" t="s">
        <v>9</v>
      </c>
      <c r="K45" s="10" t="s">
        <v>10</v>
      </c>
      <c r="L45" s="10" t="s">
        <v>11</v>
      </c>
      <c r="M45" s="10" t="s">
        <v>12</v>
      </c>
      <c r="N45" s="10" t="s">
        <v>13</v>
      </c>
      <c r="O45" s="10" t="s">
        <v>14</v>
      </c>
      <c r="P45" s="10" t="s">
        <v>15</v>
      </c>
      <c r="Q45" s="10" t="s">
        <v>16</v>
      </c>
      <c r="R45" s="10" t="s">
        <v>17</v>
      </c>
      <c r="S45" s="10" t="s">
        <v>18</v>
      </c>
      <c r="T45" s="10" t="s">
        <v>19</v>
      </c>
      <c r="U45" s="10" t="s">
        <v>20</v>
      </c>
      <c r="V45" s="10" t="s">
        <v>21</v>
      </c>
      <c r="W45" s="10" t="s">
        <v>22</v>
      </c>
      <c r="X45" s="10" t="s">
        <v>23</v>
      </c>
      <c r="Y45" s="10" t="s">
        <v>24</v>
      </c>
      <c r="Z45" s="10" t="s">
        <v>1</v>
      </c>
      <c r="AA45" s="10" t="s">
        <v>25</v>
      </c>
      <c r="AB45" s="10" t="s">
        <v>3</v>
      </c>
      <c r="AC45" s="10" t="s">
        <v>4</v>
      </c>
      <c r="AD45" s="10" t="s">
        <v>5</v>
      </c>
      <c r="AE45" s="10" t="s">
        <v>6</v>
      </c>
      <c r="AF45" s="10" t="s">
        <v>7</v>
      </c>
      <c r="AG45" s="10" t="s">
        <v>8</v>
      </c>
      <c r="AH45" s="10" t="s">
        <v>9</v>
      </c>
      <c r="AI45" s="10" t="s">
        <v>10</v>
      </c>
      <c r="AJ45" s="10" t="s">
        <v>11</v>
      </c>
      <c r="AK45" s="10" t="s">
        <v>12</v>
      </c>
      <c r="AL45" s="10" t="s">
        <v>13</v>
      </c>
      <c r="AM45" s="10" t="s">
        <v>14</v>
      </c>
      <c r="AN45" s="10" t="s">
        <v>15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8" customHeight="1">
      <c r="A46" s="13"/>
      <c r="B46" s="10"/>
      <c r="C46" s="10">
        <f>$C$3</f>
        <v>5021</v>
      </c>
      <c r="D46" s="10">
        <f>C46+2</f>
        <v>5023</v>
      </c>
      <c r="E46" s="10">
        <f>C46+5</f>
        <v>5026</v>
      </c>
      <c r="F46" s="10">
        <f>E46+2</f>
        <v>5028</v>
      </c>
      <c r="G46" s="10">
        <f>E46+5</f>
        <v>5031</v>
      </c>
      <c r="H46" s="10">
        <f>G46+2</f>
        <v>5033</v>
      </c>
      <c r="I46" s="10">
        <f>G46+5</f>
        <v>5036</v>
      </c>
      <c r="J46" s="10">
        <f>I46+2</f>
        <v>5038</v>
      </c>
      <c r="K46" s="10">
        <f>I46+5</f>
        <v>5041</v>
      </c>
      <c r="L46" s="10">
        <f>K46+2</f>
        <v>5043</v>
      </c>
      <c r="M46" s="10">
        <f>K46+5</f>
        <v>5046</v>
      </c>
      <c r="N46" s="10">
        <f>M46+2</f>
        <v>5048</v>
      </c>
      <c r="O46" s="10">
        <f>M46+5</f>
        <v>5051</v>
      </c>
      <c r="P46" s="10">
        <f>O46+2</f>
        <v>5053</v>
      </c>
      <c r="Q46" s="10">
        <f>O46+5</f>
        <v>5056</v>
      </c>
      <c r="R46" s="10">
        <f>Q46+2</f>
        <v>5058</v>
      </c>
      <c r="S46" s="10">
        <f>Q46+5</f>
        <v>5061</v>
      </c>
      <c r="T46" s="10">
        <f>S46+2</f>
        <v>5063</v>
      </c>
      <c r="U46" s="10">
        <f>S46+5</f>
        <v>5066</v>
      </c>
      <c r="V46" s="10">
        <f>U46+2</f>
        <v>5068</v>
      </c>
      <c r="W46" s="10">
        <f>U46+5</f>
        <v>5071</v>
      </c>
      <c r="X46" s="10">
        <f>W46+2</f>
        <v>5073</v>
      </c>
      <c r="Y46" s="10">
        <f>W46+5</f>
        <v>5076</v>
      </c>
      <c r="Z46" s="10">
        <f>Y46+2</f>
        <v>5078</v>
      </c>
      <c r="AA46" s="10">
        <f>Y46+5</f>
        <v>5081</v>
      </c>
      <c r="AB46" s="10">
        <f>AA46+2</f>
        <v>5083</v>
      </c>
      <c r="AC46" s="10">
        <f>AA46+5</f>
        <v>5086</v>
      </c>
      <c r="AD46" s="10">
        <f>AC46+2</f>
        <v>5088</v>
      </c>
      <c r="AE46" s="10">
        <f>AC46+5</f>
        <v>5091</v>
      </c>
      <c r="AF46" s="10">
        <f>AE46+2</f>
        <v>5093</v>
      </c>
      <c r="AG46" s="10">
        <f>AE46+5</f>
        <v>5096</v>
      </c>
      <c r="AH46" s="10">
        <f t="shared" ref="AH46:AL46" si="0">AF46+5</f>
        <v>5098</v>
      </c>
      <c r="AI46" s="10">
        <f t="shared" si="0"/>
        <v>5101</v>
      </c>
      <c r="AJ46" s="10">
        <f t="shared" si="0"/>
        <v>5103</v>
      </c>
      <c r="AK46" s="10">
        <f t="shared" si="0"/>
        <v>5106</v>
      </c>
      <c r="AL46" s="10">
        <f t="shared" si="0"/>
        <v>5108</v>
      </c>
      <c r="AM46" s="10">
        <f t="shared" ref="AM46" si="1">AK46+5</f>
        <v>5111</v>
      </c>
      <c r="AN46" s="10">
        <f t="shared" ref="AN46" si="2">AL46+5</f>
        <v>5113</v>
      </c>
    </row>
    <row r="47" spans="1:51" ht="18" customHeight="1">
      <c r="A47" s="13"/>
      <c r="B47" s="13"/>
      <c r="C47" s="13" t="str">
        <f>$C$6&amp;"세"</f>
        <v>8세</v>
      </c>
      <c r="D47" s="13" t="str">
        <f t="shared" ref="D47:AN47" si="3">D$46-$C$3+$C$6&amp;"세"</f>
        <v>10세</v>
      </c>
      <c r="E47" s="13" t="str">
        <f t="shared" si="3"/>
        <v>13세</v>
      </c>
      <c r="F47" s="13" t="str">
        <f t="shared" si="3"/>
        <v>15세</v>
      </c>
      <c r="G47" s="13" t="str">
        <f t="shared" si="3"/>
        <v>18세</v>
      </c>
      <c r="H47" s="13" t="str">
        <f t="shared" si="3"/>
        <v>20세</v>
      </c>
      <c r="I47" s="13" t="str">
        <f t="shared" si="3"/>
        <v>23세</v>
      </c>
      <c r="J47" s="13" t="str">
        <f t="shared" si="3"/>
        <v>25세</v>
      </c>
      <c r="K47" s="13" t="str">
        <f t="shared" si="3"/>
        <v>28세</v>
      </c>
      <c r="L47" s="13" t="str">
        <f t="shared" si="3"/>
        <v>30세</v>
      </c>
      <c r="M47" s="13" t="str">
        <f t="shared" si="3"/>
        <v>33세</v>
      </c>
      <c r="N47" s="13" t="str">
        <f t="shared" si="3"/>
        <v>35세</v>
      </c>
      <c r="O47" s="13" t="str">
        <f t="shared" si="3"/>
        <v>38세</v>
      </c>
      <c r="P47" s="13" t="str">
        <f t="shared" si="3"/>
        <v>40세</v>
      </c>
      <c r="Q47" s="13" t="str">
        <f t="shared" si="3"/>
        <v>43세</v>
      </c>
      <c r="R47" s="13" t="str">
        <f t="shared" si="3"/>
        <v>45세</v>
      </c>
      <c r="S47" s="13" t="str">
        <f t="shared" si="3"/>
        <v>48세</v>
      </c>
      <c r="T47" s="13" t="str">
        <f t="shared" si="3"/>
        <v>50세</v>
      </c>
      <c r="U47" s="13" t="str">
        <f t="shared" si="3"/>
        <v>53세</v>
      </c>
      <c r="V47" s="13" t="str">
        <f t="shared" si="3"/>
        <v>55세</v>
      </c>
      <c r="W47" s="13" t="str">
        <f t="shared" si="3"/>
        <v>58세</v>
      </c>
      <c r="X47" s="13" t="str">
        <f t="shared" si="3"/>
        <v>60세</v>
      </c>
      <c r="Y47" s="13" t="str">
        <f t="shared" si="3"/>
        <v>63세</v>
      </c>
      <c r="Z47" s="13" t="str">
        <f t="shared" si="3"/>
        <v>65세</v>
      </c>
      <c r="AA47" s="13" t="str">
        <f t="shared" si="3"/>
        <v>68세</v>
      </c>
      <c r="AB47" s="13" t="str">
        <f t="shared" si="3"/>
        <v>70세</v>
      </c>
      <c r="AC47" s="13" t="str">
        <f t="shared" si="3"/>
        <v>73세</v>
      </c>
      <c r="AD47" s="13" t="str">
        <f t="shared" si="3"/>
        <v>75세</v>
      </c>
      <c r="AE47" s="13" t="str">
        <f t="shared" si="3"/>
        <v>78세</v>
      </c>
      <c r="AF47" s="13" t="str">
        <f t="shared" si="3"/>
        <v>80세</v>
      </c>
      <c r="AG47" s="13" t="str">
        <f t="shared" si="3"/>
        <v>83세</v>
      </c>
      <c r="AH47" s="13" t="str">
        <f t="shared" si="3"/>
        <v>85세</v>
      </c>
      <c r="AI47" s="13" t="str">
        <f t="shared" si="3"/>
        <v>88세</v>
      </c>
      <c r="AJ47" s="13" t="str">
        <f t="shared" si="3"/>
        <v>90세</v>
      </c>
      <c r="AK47" s="13" t="str">
        <f t="shared" si="3"/>
        <v>93세</v>
      </c>
      <c r="AL47" s="13" t="str">
        <f t="shared" si="3"/>
        <v>95세</v>
      </c>
      <c r="AM47" s="13" t="str">
        <f t="shared" si="3"/>
        <v>98세</v>
      </c>
      <c r="AN47" s="13" t="str">
        <f t="shared" si="3"/>
        <v>100세</v>
      </c>
    </row>
  </sheetData>
  <sortState xmlns:xlrd2="http://schemas.microsoft.com/office/spreadsheetml/2017/richdata2" ref="O43:AA43">
    <sortCondition ref="O33"/>
  </sortState>
  <mergeCells count="1">
    <mergeCell ref="A1:A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1" fitToWidth="0" orientation="landscape" r:id="rId1"/>
  <ignoredErrors>
    <ignoredError sqref="A40:AN4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47"/>
  <sheetViews>
    <sheetView zoomScale="70" zoomScaleNormal="70" workbookViewId="0">
      <selection activeCell="M6" sqref="M6"/>
    </sheetView>
  </sheetViews>
  <sheetFormatPr defaultColWidth="9" defaultRowHeight="18" customHeight="1"/>
  <cols>
    <col min="1" max="1" width="8.83203125" style="3" customWidth="1"/>
    <col min="2" max="2" width="36.5" style="3" bestFit="1" customWidth="1"/>
    <col min="3" max="3" width="19.33203125" style="3" customWidth="1"/>
    <col min="4" max="32" width="5.08203125" style="3" customWidth="1"/>
    <col min="33" max="34" width="5.08203125" style="4" customWidth="1"/>
    <col min="35" max="16384" width="9" style="4"/>
  </cols>
  <sheetData>
    <row r="1" spans="1:34" ht="38.25" customHeight="1">
      <c r="A1" s="25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ht="18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ht="18" customHeight="1">
      <c r="B3" s="14" t="s">
        <v>31</v>
      </c>
      <c r="C3" s="15">
        <v>1967</v>
      </c>
    </row>
    <row r="4" spans="1:34" ht="18" customHeight="1">
      <c r="B4" s="16" t="s">
        <v>32</v>
      </c>
      <c r="C4" s="17">
        <v>10</v>
      </c>
    </row>
    <row r="5" spans="1:34" ht="18" customHeight="1">
      <c r="B5" s="16" t="s">
        <v>0</v>
      </c>
      <c r="C5" s="18" t="s">
        <v>34</v>
      </c>
    </row>
    <row r="6" spans="1:34" ht="18" customHeight="1" thickBot="1">
      <c r="B6" s="19" t="s">
        <v>33</v>
      </c>
      <c r="C6" s="24">
        <v>-14</v>
      </c>
    </row>
    <row r="7" spans="1:34" ht="18" customHeight="1">
      <c r="G7" s="6"/>
      <c r="H7" s="5"/>
      <c r="I7" s="5"/>
      <c r="J7" s="5"/>
      <c r="K7" s="5"/>
      <c r="N7" s="6"/>
      <c r="O7" s="5"/>
      <c r="P7" s="5"/>
      <c r="Q7" s="5"/>
      <c r="R7" s="5"/>
      <c r="V7" s="6"/>
      <c r="W7" s="5"/>
      <c r="X7" s="5"/>
      <c r="Y7" s="5"/>
      <c r="Z7" s="5"/>
    </row>
    <row r="8" spans="1:34" ht="18" customHeight="1">
      <c r="G8" s="7"/>
    </row>
    <row r="9" spans="1:34" ht="18" customHeight="1">
      <c r="G9" s="8"/>
      <c r="N9" s="8"/>
      <c r="O9" s="8"/>
      <c r="P9" s="8"/>
      <c r="Q9" s="8"/>
      <c r="R9" s="8"/>
      <c r="V9" s="8"/>
    </row>
    <row r="10" spans="1:34" ht="18" customHeight="1">
      <c r="N10" s="8"/>
      <c r="O10" s="8"/>
      <c r="P10" s="8"/>
      <c r="Q10" s="8"/>
      <c r="R10" s="8"/>
    </row>
    <row r="13" spans="1:34" ht="18" customHeight="1">
      <c r="B13" s="1"/>
      <c r="C13" s="2"/>
      <c r="D13" s="2"/>
      <c r="E13" s="2"/>
      <c r="F13" s="2"/>
    </row>
    <row r="33" spans="1:51" s="9" customFormat="1" ht="18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4"/>
      <c r="AK33" s="4"/>
    </row>
    <row r="40" spans="1:51" ht="25.5">
      <c r="B40" s="20" t="s">
        <v>35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2"/>
      <c r="AJ40" s="12"/>
      <c r="AK40" s="12"/>
      <c r="AL40" s="12"/>
      <c r="AM40" s="12"/>
      <c r="AN40" s="12"/>
      <c r="AO40" s="12"/>
    </row>
    <row r="41" spans="1:51" ht="25.5">
      <c r="A41" s="4"/>
      <c r="B41" s="21" t="s">
        <v>26</v>
      </c>
      <c r="C41" s="10">
        <v>-10</v>
      </c>
      <c r="D41" s="10">
        <v>-7.5</v>
      </c>
      <c r="E41" s="10">
        <v>-5</v>
      </c>
      <c r="F41" s="10">
        <v>-2.5</v>
      </c>
      <c r="G41" s="10">
        <v>0</v>
      </c>
      <c r="H41" s="10">
        <v>2.5</v>
      </c>
      <c r="I41" s="10">
        <v>5</v>
      </c>
      <c r="J41" s="10">
        <v>7.5</v>
      </c>
      <c r="K41" s="10">
        <v>10</v>
      </c>
      <c r="L41" s="10">
        <v>12.5</v>
      </c>
      <c r="M41" s="10">
        <v>15</v>
      </c>
      <c r="N41" s="10">
        <v>17.5</v>
      </c>
      <c r="O41" s="10">
        <v>20</v>
      </c>
      <c r="P41" s="11">
        <v>17.5</v>
      </c>
      <c r="Q41" s="10">
        <v>15</v>
      </c>
      <c r="R41" s="11">
        <v>12.5</v>
      </c>
      <c r="S41" s="10">
        <v>10</v>
      </c>
      <c r="T41" s="11">
        <v>7.5</v>
      </c>
      <c r="U41" s="10">
        <v>5</v>
      </c>
      <c r="V41" s="11">
        <v>2.5</v>
      </c>
      <c r="W41" s="10">
        <v>0</v>
      </c>
      <c r="X41" s="11">
        <v>-2.5</v>
      </c>
      <c r="Y41" s="10">
        <v>-5</v>
      </c>
      <c r="Z41" s="11">
        <v>-7.5</v>
      </c>
      <c r="AA41" s="10">
        <v>-10</v>
      </c>
      <c r="AB41" s="10">
        <v>-7.5</v>
      </c>
      <c r="AC41" s="10">
        <v>-5</v>
      </c>
      <c r="AD41" s="10">
        <v>-2.5</v>
      </c>
      <c r="AE41" s="10">
        <v>0</v>
      </c>
      <c r="AF41" s="10">
        <v>2.5</v>
      </c>
      <c r="AG41" s="12">
        <v>5</v>
      </c>
      <c r="AH41" s="10">
        <v>7.5</v>
      </c>
      <c r="AI41" s="12">
        <v>10</v>
      </c>
      <c r="AJ41" s="10">
        <v>12.5</v>
      </c>
      <c r="AK41" s="12">
        <v>15</v>
      </c>
      <c r="AL41" s="10">
        <v>17.5</v>
      </c>
      <c r="AM41" s="12">
        <v>20</v>
      </c>
      <c r="AN41" s="12">
        <v>17.5</v>
      </c>
      <c r="AO41" s="12">
        <v>15</v>
      </c>
    </row>
    <row r="42" spans="1:51" ht="21.75" hidden="1" customHeight="1">
      <c r="A42" s="4"/>
      <c r="B42" s="21" t="s">
        <v>30</v>
      </c>
      <c r="C42" s="10"/>
      <c r="D42" s="10"/>
      <c r="E42" s="10"/>
      <c r="F42" s="10"/>
      <c r="G42" s="10">
        <v>-10</v>
      </c>
      <c r="H42" s="10">
        <v>-7.5</v>
      </c>
      <c r="I42" s="10">
        <v>-5</v>
      </c>
      <c r="J42" s="10">
        <v>-2.5</v>
      </c>
      <c r="K42" s="10">
        <v>0</v>
      </c>
      <c r="L42" s="10">
        <v>2.5</v>
      </c>
      <c r="M42" s="10">
        <v>5</v>
      </c>
      <c r="N42" s="10">
        <v>7.5</v>
      </c>
      <c r="O42" s="10">
        <v>10</v>
      </c>
      <c r="P42" s="10">
        <v>12.5</v>
      </c>
      <c r="Q42" s="10">
        <v>15</v>
      </c>
      <c r="R42" s="10">
        <v>17.5</v>
      </c>
      <c r="S42" s="10">
        <v>20</v>
      </c>
      <c r="T42" s="10">
        <v>17.5</v>
      </c>
      <c r="U42" s="10">
        <v>15</v>
      </c>
      <c r="V42" s="10">
        <v>12.5</v>
      </c>
      <c r="W42" s="10">
        <v>10</v>
      </c>
      <c r="X42" s="10">
        <v>7.5</v>
      </c>
      <c r="Y42" s="10">
        <v>5</v>
      </c>
      <c r="Z42" s="10">
        <v>2.5</v>
      </c>
      <c r="AA42" s="10">
        <v>0</v>
      </c>
      <c r="AB42" s="10">
        <v>-2.5</v>
      </c>
      <c r="AC42" s="10">
        <v>-5</v>
      </c>
      <c r="AD42" s="10">
        <v>-7.5</v>
      </c>
      <c r="AE42" s="10">
        <v>-10</v>
      </c>
      <c r="AF42" s="10">
        <v>-7.5</v>
      </c>
      <c r="AG42" s="10">
        <v>-5</v>
      </c>
      <c r="AH42" s="10">
        <v>-2.5</v>
      </c>
      <c r="AI42" s="10">
        <v>0</v>
      </c>
      <c r="AJ42" s="10">
        <v>2.5</v>
      </c>
      <c r="AK42" s="10">
        <v>5</v>
      </c>
      <c r="AL42" s="10">
        <v>7.5</v>
      </c>
      <c r="AM42" s="10">
        <v>10</v>
      </c>
      <c r="AN42" s="10">
        <v>12.5</v>
      </c>
      <c r="AO42" s="10">
        <v>15</v>
      </c>
    </row>
    <row r="43" spans="1:51" ht="25.5">
      <c r="A43" s="4"/>
      <c r="B43" s="21" t="s">
        <v>27</v>
      </c>
      <c r="C43" s="10"/>
      <c r="D43" s="10"/>
      <c r="E43" s="10"/>
      <c r="F43" s="10"/>
      <c r="G43" s="10"/>
      <c r="H43" s="10"/>
      <c r="I43" s="10"/>
      <c r="J43" s="10"/>
      <c r="K43" s="10">
        <v>-10</v>
      </c>
      <c r="L43" s="10">
        <v>-7.5</v>
      </c>
      <c r="M43" s="10">
        <v>-5</v>
      </c>
      <c r="N43" s="10">
        <v>-2.5</v>
      </c>
      <c r="O43" s="10">
        <v>0</v>
      </c>
      <c r="P43" s="10">
        <v>2.5</v>
      </c>
      <c r="Q43" s="10">
        <v>5</v>
      </c>
      <c r="R43" s="10">
        <v>7.5</v>
      </c>
      <c r="S43" s="10">
        <v>10</v>
      </c>
      <c r="T43" s="10">
        <v>12.5</v>
      </c>
      <c r="U43" s="10">
        <v>15</v>
      </c>
      <c r="V43" s="10">
        <v>17.5</v>
      </c>
      <c r="W43" s="10">
        <v>20</v>
      </c>
      <c r="X43" s="12">
        <v>17.5</v>
      </c>
      <c r="Y43" s="10">
        <v>15</v>
      </c>
      <c r="Z43" s="12">
        <v>12.5</v>
      </c>
      <c r="AA43" s="10">
        <v>10</v>
      </c>
      <c r="AB43" s="12">
        <v>7.5</v>
      </c>
      <c r="AC43" s="10">
        <v>5</v>
      </c>
      <c r="AD43" s="12">
        <v>2.5</v>
      </c>
      <c r="AE43" s="10">
        <v>0</v>
      </c>
      <c r="AF43" s="12">
        <v>-2.5</v>
      </c>
      <c r="AG43" s="10">
        <v>-5</v>
      </c>
      <c r="AH43" s="12">
        <v>-7.5</v>
      </c>
      <c r="AI43" s="10">
        <v>-10</v>
      </c>
      <c r="AJ43" s="23">
        <v>-7.5</v>
      </c>
      <c r="AK43" s="10">
        <v>-5</v>
      </c>
      <c r="AL43" s="23">
        <v>-2.5</v>
      </c>
      <c r="AM43" s="10">
        <v>0</v>
      </c>
      <c r="AN43" s="23">
        <v>2.5</v>
      </c>
      <c r="AO43" s="10">
        <v>5</v>
      </c>
    </row>
    <row r="44" spans="1:51" ht="25.5" hidden="1">
      <c r="A44" s="4"/>
      <c r="B44" s="21" t="s">
        <v>28</v>
      </c>
      <c r="C44" s="12"/>
      <c r="D44" s="12"/>
      <c r="E44" s="12"/>
      <c r="F44" s="12"/>
      <c r="G44" s="12"/>
      <c r="H44" s="13"/>
      <c r="I44" s="10"/>
      <c r="J44" s="10"/>
      <c r="K44" s="10"/>
      <c r="L44" s="10"/>
      <c r="M44" s="10"/>
      <c r="N44" s="10"/>
      <c r="O44" s="10">
        <v>-10</v>
      </c>
      <c r="P44" s="10">
        <v>-7.5</v>
      </c>
      <c r="Q44" s="10">
        <v>-5</v>
      </c>
      <c r="R44" s="10">
        <v>-2.5</v>
      </c>
      <c r="S44" s="10">
        <v>0</v>
      </c>
      <c r="T44" s="10">
        <v>2.5</v>
      </c>
      <c r="U44" s="10">
        <v>5</v>
      </c>
      <c r="V44" s="10">
        <v>7.5</v>
      </c>
      <c r="W44" s="10">
        <v>10</v>
      </c>
      <c r="X44" s="10">
        <v>12.5</v>
      </c>
      <c r="Y44" s="10">
        <v>15</v>
      </c>
      <c r="Z44" s="10">
        <v>17.5</v>
      </c>
      <c r="AA44" s="10">
        <v>20</v>
      </c>
      <c r="AB44" s="10">
        <v>17.5</v>
      </c>
      <c r="AC44" s="10">
        <v>15</v>
      </c>
      <c r="AD44" s="10">
        <v>12.5</v>
      </c>
      <c r="AE44" s="10">
        <v>10</v>
      </c>
      <c r="AF44" s="10">
        <v>7.5</v>
      </c>
      <c r="AG44" s="10">
        <v>5</v>
      </c>
      <c r="AH44" s="10">
        <v>2.5</v>
      </c>
      <c r="AI44" s="10">
        <v>0</v>
      </c>
      <c r="AJ44" s="10">
        <v>-2.5</v>
      </c>
      <c r="AK44" s="10">
        <v>-5</v>
      </c>
      <c r="AL44" s="10">
        <v>-7.5</v>
      </c>
      <c r="AM44" s="10">
        <v>-10</v>
      </c>
      <c r="AN44" s="12">
        <v>-7.5</v>
      </c>
      <c r="AO44" s="10">
        <v>-5</v>
      </c>
    </row>
    <row r="45" spans="1:51" ht="18" customHeight="1">
      <c r="B45" s="10"/>
      <c r="C45" s="10" t="s">
        <v>1</v>
      </c>
      <c r="D45" s="10" t="s">
        <v>2</v>
      </c>
      <c r="E45" s="10" t="s">
        <v>3</v>
      </c>
      <c r="F45" s="10" t="s">
        <v>4</v>
      </c>
      <c r="G45" s="10" t="s">
        <v>5</v>
      </c>
      <c r="H45" s="10" t="s">
        <v>6</v>
      </c>
      <c r="I45" s="10" t="s">
        <v>7</v>
      </c>
      <c r="J45" s="10" t="s">
        <v>8</v>
      </c>
      <c r="K45" s="10" t="s">
        <v>9</v>
      </c>
      <c r="L45" s="10" t="s">
        <v>10</v>
      </c>
      <c r="M45" s="10" t="s">
        <v>11</v>
      </c>
      <c r="N45" s="10" t="s">
        <v>12</v>
      </c>
      <c r="O45" s="10" t="s">
        <v>13</v>
      </c>
      <c r="P45" s="10" t="s">
        <v>14</v>
      </c>
      <c r="Q45" s="10" t="s">
        <v>15</v>
      </c>
      <c r="R45" s="10" t="s">
        <v>16</v>
      </c>
      <c r="S45" s="10" t="s">
        <v>17</v>
      </c>
      <c r="T45" s="10" t="s">
        <v>18</v>
      </c>
      <c r="U45" s="10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  <c r="Z45" s="10" t="s">
        <v>24</v>
      </c>
      <c r="AA45" s="10" t="s">
        <v>1</v>
      </c>
      <c r="AB45" s="10" t="s">
        <v>25</v>
      </c>
      <c r="AC45" s="10" t="s">
        <v>3</v>
      </c>
      <c r="AD45" s="10" t="s">
        <v>4</v>
      </c>
      <c r="AE45" s="10" t="s">
        <v>5</v>
      </c>
      <c r="AF45" s="10" t="s">
        <v>6</v>
      </c>
      <c r="AG45" s="10" t="s">
        <v>7</v>
      </c>
      <c r="AH45" s="10" t="s">
        <v>8</v>
      </c>
      <c r="AI45" s="10" t="s">
        <v>9</v>
      </c>
      <c r="AJ45" s="10" t="s">
        <v>10</v>
      </c>
      <c r="AK45" s="10" t="s">
        <v>11</v>
      </c>
      <c r="AL45" s="10" t="s">
        <v>12</v>
      </c>
      <c r="AM45" s="10" t="s">
        <v>13</v>
      </c>
      <c r="AN45" s="10" t="s">
        <v>14</v>
      </c>
      <c r="AO45" s="10" t="s">
        <v>15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8" customHeight="1">
      <c r="B46" s="13"/>
      <c r="C46" s="10"/>
      <c r="D46" s="10">
        <f>$C$3</f>
        <v>1967</v>
      </c>
      <c r="E46" s="10">
        <f>D46+2</f>
        <v>1969</v>
      </c>
      <c r="F46" s="10">
        <f>D46+5</f>
        <v>1972</v>
      </c>
      <c r="G46" s="10">
        <f>F46+2</f>
        <v>1974</v>
      </c>
      <c r="H46" s="10">
        <f>F46+5</f>
        <v>1977</v>
      </c>
      <c r="I46" s="10">
        <f>H46+2</f>
        <v>1979</v>
      </c>
      <c r="J46" s="10">
        <f>H46+5</f>
        <v>1982</v>
      </c>
      <c r="K46" s="10">
        <f>J46+2</f>
        <v>1984</v>
      </c>
      <c r="L46" s="10">
        <f>J46+5</f>
        <v>1987</v>
      </c>
      <c r="M46" s="10">
        <f>L46+2</f>
        <v>1989</v>
      </c>
      <c r="N46" s="10">
        <f>L46+5</f>
        <v>1992</v>
      </c>
      <c r="O46" s="10">
        <f>N46+2</f>
        <v>1994</v>
      </c>
      <c r="P46" s="10">
        <f>N46+5</f>
        <v>1997</v>
      </c>
      <c r="Q46" s="10">
        <f>P46+2</f>
        <v>1999</v>
      </c>
      <c r="R46" s="10">
        <f>P46+5</f>
        <v>2002</v>
      </c>
      <c r="S46" s="10">
        <f>R46+2</f>
        <v>2004</v>
      </c>
      <c r="T46" s="10">
        <f>R46+5</f>
        <v>2007</v>
      </c>
      <c r="U46" s="10">
        <f>T46+2</f>
        <v>2009</v>
      </c>
      <c r="V46" s="10">
        <f>T46+5</f>
        <v>2012</v>
      </c>
      <c r="W46" s="10">
        <f>V46+2</f>
        <v>2014</v>
      </c>
      <c r="X46" s="10">
        <f>V46+5</f>
        <v>2017</v>
      </c>
      <c r="Y46" s="10">
        <f>X46+2</f>
        <v>2019</v>
      </c>
      <c r="Z46" s="10">
        <f>X46+5</f>
        <v>2022</v>
      </c>
      <c r="AA46" s="10">
        <f>Z46+2</f>
        <v>2024</v>
      </c>
      <c r="AB46" s="10">
        <f>Z46+5</f>
        <v>2027</v>
      </c>
      <c r="AC46" s="10">
        <f>AB46+2</f>
        <v>2029</v>
      </c>
      <c r="AD46" s="10">
        <f>AB46+5</f>
        <v>2032</v>
      </c>
      <c r="AE46" s="10">
        <f>AD46+2</f>
        <v>2034</v>
      </c>
      <c r="AF46" s="10">
        <f>AD46+5</f>
        <v>2037</v>
      </c>
      <c r="AG46" s="10">
        <f>AF46+2</f>
        <v>2039</v>
      </c>
      <c r="AH46" s="10">
        <f>AF46+5</f>
        <v>2042</v>
      </c>
      <c r="AI46" s="10">
        <f t="shared" ref="AI46:AO46" si="0">AG46+5</f>
        <v>2044</v>
      </c>
      <c r="AJ46" s="10">
        <f t="shared" si="0"/>
        <v>2047</v>
      </c>
      <c r="AK46" s="10">
        <f t="shared" si="0"/>
        <v>2049</v>
      </c>
      <c r="AL46" s="10">
        <f t="shared" si="0"/>
        <v>2052</v>
      </c>
      <c r="AM46" s="10">
        <f t="shared" si="0"/>
        <v>2054</v>
      </c>
      <c r="AN46" s="10">
        <f t="shared" si="0"/>
        <v>2057</v>
      </c>
      <c r="AO46" s="10">
        <f t="shared" si="0"/>
        <v>2059</v>
      </c>
    </row>
    <row r="47" spans="1:51" ht="18" customHeight="1">
      <c r="B47" s="13"/>
      <c r="C47" s="13"/>
      <c r="D47" s="13" t="str">
        <f>$C$6&amp;"세"</f>
        <v>-14세</v>
      </c>
      <c r="E47" s="13" t="str">
        <f t="shared" ref="E47:AO47" si="1">E$46-$C$3+$C$6&amp;"세"</f>
        <v>-12세</v>
      </c>
      <c r="F47" s="13" t="str">
        <f t="shared" si="1"/>
        <v>-9세</v>
      </c>
      <c r="G47" s="13" t="str">
        <f t="shared" si="1"/>
        <v>-7세</v>
      </c>
      <c r="H47" s="13" t="str">
        <f t="shared" si="1"/>
        <v>-4세</v>
      </c>
      <c r="I47" s="13" t="str">
        <f t="shared" si="1"/>
        <v>-2세</v>
      </c>
      <c r="J47" s="13" t="str">
        <f t="shared" si="1"/>
        <v>1세</v>
      </c>
      <c r="K47" s="13" t="str">
        <f t="shared" si="1"/>
        <v>3세</v>
      </c>
      <c r="L47" s="13" t="str">
        <f t="shared" si="1"/>
        <v>6세</v>
      </c>
      <c r="M47" s="13" t="str">
        <f t="shared" si="1"/>
        <v>8세</v>
      </c>
      <c r="N47" s="13" t="str">
        <f t="shared" si="1"/>
        <v>11세</v>
      </c>
      <c r="O47" s="13" t="str">
        <f t="shared" si="1"/>
        <v>13세</v>
      </c>
      <c r="P47" s="13" t="str">
        <f t="shared" si="1"/>
        <v>16세</v>
      </c>
      <c r="Q47" s="13" t="str">
        <f t="shared" si="1"/>
        <v>18세</v>
      </c>
      <c r="R47" s="13" t="str">
        <f t="shared" si="1"/>
        <v>21세</v>
      </c>
      <c r="S47" s="13" t="str">
        <f t="shared" si="1"/>
        <v>23세</v>
      </c>
      <c r="T47" s="13" t="str">
        <f t="shared" si="1"/>
        <v>26세</v>
      </c>
      <c r="U47" s="13" t="str">
        <f t="shared" si="1"/>
        <v>28세</v>
      </c>
      <c r="V47" s="13" t="str">
        <f t="shared" si="1"/>
        <v>31세</v>
      </c>
      <c r="W47" s="13" t="str">
        <f t="shared" si="1"/>
        <v>33세</v>
      </c>
      <c r="X47" s="13" t="str">
        <f t="shared" si="1"/>
        <v>36세</v>
      </c>
      <c r="Y47" s="13" t="str">
        <f t="shared" si="1"/>
        <v>38세</v>
      </c>
      <c r="Z47" s="13" t="str">
        <f t="shared" si="1"/>
        <v>41세</v>
      </c>
      <c r="AA47" s="13" t="str">
        <f t="shared" si="1"/>
        <v>43세</v>
      </c>
      <c r="AB47" s="13" t="str">
        <f t="shared" si="1"/>
        <v>46세</v>
      </c>
      <c r="AC47" s="13" t="str">
        <f t="shared" si="1"/>
        <v>48세</v>
      </c>
      <c r="AD47" s="13" t="str">
        <f t="shared" si="1"/>
        <v>51세</v>
      </c>
      <c r="AE47" s="13" t="str">
        <f t="shared" si="1"/>
        <v>53세</v>
      </c>
      <c r="AF47" s="13" t="str">
        <f t="shared" si="1"/>
        <v>56세</v>
      </c>
      <c r="AG47" s="13" t="str">
        <f t="shared" si="1"/>
        <v>58세</v>
      </c>
      <c r="AH47" s="13" t="str">
        <f t="shared" si="1"/>
        <v>61세</v>
      </c>
      <c r="AI47" s="13" t="str">
        <f t="shared" si="1"/>
        <v>63세</v>
      </c>
      <c r="AJ47" s="13" t="str">
        <f t="shared" si="1"/>
        <v>66세</v>
      </c>
      <c r="AK47" s="13" t="str">
        <f t="shared" si="1"/>
        <v>68세</v>
      </c>
      <c r="AL47" s="13" t="str">
        <f t="shared" si="1"/>
        <v>71세</v>
      </c>
      <c r="AM47" s="13" t="str">
        <f t="shared" si="1"/>
        <v>73세</v>
      </c>
      <c r="AN47" s="13" t="str">
        <f t="shared" si="1"/>
        <v>76세</v>
      </c>
      <c r="AO47" s="13" t="str">
        <f t="shared" si="1"/>
        <v>78세</v>
      </c>
    </row>
  </sheetData>
  <mergeCells count="1">
    <mergeCell ref="A1:A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47"/>
  <sheetViews>
    <sheetView topLeftCell="A19" zoomScale="70" zoomScaleNormal="70" workbookViewId="0">
      <selection activeCell="A3" sqref="A3"/>
    </sheetView>
  </sheetViews>
  <sheetFormatPr defaultColWidth="9" defaultRowHeight="18" customHeight="1"/>
  <cols>
    <col min="1" max="1" width="8.83203125" style="3" customWidth="1"/>
    <col min="2" max="2" width="36.5" style="3" bestFit="1" customWidth="1"/>
    <col min="3" max="3" width="19.33203125" style="3" customWidth="1"/>
    <col min="4" max="32" width="5.08203125" style="3" customWidth="1"/>
    <col min="33" max="34" width="5.08203125" style="4" customWidth="1"/>
    <col min="35" max="16384" width="9" style="4"/>
  </cols>
  <sheetData>
    <row r="1" spans="1:34" ht="38.25" customHeight="1">
      <c r="A1" s="2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ht="18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ht="18" customHeight="1">
      <c r="B3" s="14" t="s">
        <v>31</v>
      </c>
      <c r="C3" s="15">
        <v>1967</v>
      </c>
    </row>
    <row r="4" spans="1:34" ht="18" customHeight="1">
      <c r="B4" s="16" t="s">
        <v>32</v>
      </c>
      <c r="C4" s="17">
        <v>10</v>
      </c>
    </row>
    <row r="5" spans="1:34" ht="18" customHeight="1">
      <c r="B5" s="16" t="s">
        <v>0</v>
      </c>
      <c r="C5" s="18" t="s">
        <v>34</v>
      </c>
    </row>
    <row r="6" spans="1:34" ht="18" customHeight="1" thickBot="1">
      <c r="B6" s="19" t="s">
        <v>33</v>
      </c>
      <c r="C6" s="24">
        <v>-14</v>
      </c>
    </row>
    <row r="7" spans="1:34" ht="18" customHeight="1">
      <c r="G7" s="6"/>
      <c r="H7" s="5"/>
      <c r="I7" s="5"/>
      <c r="J7" s="5"/>
      <c r="K7" s="5"/>
      <c r="N7" s="6"/>
      <c r="O7" s="5"/>
      <c r="P7" s="5"/>
      <c r="Q7" s="5"/>
      <c r="R7" s="5"/>
      <c r="V7" s="6"/>
      <c r="W7" s="5"/>
      <c r="X7" s="5"/>
      <c r="Y7" s="5"/>
      <c r="Z7" s="5"/>
    </row>
    <row r="8" spans="1:34" ht="18" customHeight="1">
      <c r="G8" s="7"/>
    </row>
    <row r="9" spans="1:34" ht="18" customHeight="1">
      <c r="G9" s="8"/>
      <c r="N9" s="8"/>
      <c r="O9" s="8"/>
      <c r="P9" s="8"/>
      <c r="Q9" s="8"/>
      <c r="R9" s="8"/>
      <c r="V9" s="8"/>
    </row>
    <row r="10" spans="1:34" ht="18" customHeight="1">
      <c r="N10" s="8"/>
      <c r="O10" s="8"/>
      <c r="P10" s="8"/>
      <c r="Q10" s="8"/>
      <c r="R10" s="8"/>
    </row>
    <row r="13" spans="1:34" ht="18" customHeight="1">
      <c r="B13" s="1"/>
      <c r="C13" s="2"/>
      <c r="D13" s="2"/>
      <c r="E13" s="2"/>
      <c r="F13" s="2"/>
    </row>
    <row r="33" spans="1:51" s="9" customFormat="1" ht="18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4"/>
      <c r="AK33" s="4"/>
    </row>
    <row r="40" spans="1:51" ht="25.5">
      <c r="B40" s="20" t="s">
        <v>35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2"/>
      <c r="AJ40" s="12"/>
      <c r="AK40" s="12"/>
      <c r="AL40" s="12"/>
      <c r="AM40" s="12"/>
      <c r="AN40" s="12"/>
      <c r="AO40" s="12"/>
    </row>
    <row r="41" spans="1:51" ht="25.5">
      <c r="A41" s="4"/>
      <c r="B41" s="21" t="s">
        <v>26</v>
      </c>
      <c r="C41" s="10">
        <v>-10</v>
      </c>
      <c r="D41" s="10">
        <v>-7.5</v>
      </c>
      <c r="E41" s="10">
        <v>-5</v>
      </c>
      <c r="F41" s="10">
        <v>-2.5</v>
      </c>
      <c r="G41" s="10">
        <v>0</v>
      </c>
      <c r="H41" s="10">
        <v>2.5</v>
      </c>
      <c r="I41" s="10">
        <v>5</v>
      </c>
      <c r="J41" s="10">
        <v>7.5</v>
      </c>
      <c r="K41" s="10">
        <v>10</v>
      </c>
      <c r="L41" s="10">
        <v>12.5</v>
      </c>
      <c r="M41" s="10">
        <v>15</v>
      </c>
      <c r="N41" s="10">
        <v>17.5</v>
      </c>
      <c r="O41" s="10">
        <v>20</v>
      </c>
      <c r="P41" s="11">
        <v>17.5</v>
      </c>
      <c r="Q41" s="10">
        <v>15</v>
      </c>
      <c r="R41" s="11">
        <v>12.5</v>
      </c>
      <c r="S41" s="10">
        <v>10</v>
      </c>
      <c r="T41" s="11">
        <v>7.5</v>
      </c>
      <c r="U41" s="10">
        <v>5</v>
      </c>
      <c r="V41" s="11">
        <v>2.5</v>
      </c>
      <c r="W41" s="10">
        <v>0</v>
      </c>
      <c r="X41" s="11">
        <v>-2.5</v>
      </c>
      <c r="Y41" s="10">
        <v>-5</v>
      </c>
      <c r="Z41" s="11">
        <v>-7.5</v>
      </c>
      <c r="AA41" s="10">
        <v>-10</v>
      </c>
      <c r="AB41" s="10">
        <v>-7.5</v>
      </c>
      <c r="AC41" s="10">
        <v>-5</v>
      </c>
      <c r="AD41" s="10">
        <v>-2.5</v>
      </c>
      <c r="AE41" s="10">
        <v>0</v>
      </c>
      <c r="AF41" s="10">
        <v>2.5</v>
      </c>
      <c r="AG41" s="12">
        <v>5</v>
      </c>
      <c r="AH41" s="10">
        <v>7.5</v>
      </c>
      <c r="AI41" s="12">
        <v>10</v>
      </c>
      <c r="AJ41" s="10">
        <v>12.5</v>
      </c>
      <c r="AK41" s="12">
        <v>15</v>
      </c>
      <c r="AL41" s="10">
        <v>17.5</v>
      </c>
      <c r="AM41" s="12">
        <v>20</v>
      </c>
      <c r="AN41" s="12">
        <v>17.5</v>
      </c>
      <c r="AO41" s="12">
        <v>15</v>
      </c>
    </row>
    <row r="42" spans="1:51" ht="21.75" hidden="1" customHeight="1">
      <c r="A42" s="4"/>
      <c r="B42" s="21" t="s">
        <v>30</v>
      </c>
      <c r="C42" s="10"/>
      <c r="D42" s="10"/>
      <c r="E42" s="10"/>
      <c r="F42" s="10"/>
      <c r="G42" s="10">
        <v>-10</v>
      </c>
      <c r="H42" s="10">
        <v>-7.5</v>
      </c>
      <c r="I42" s="10">
        <v>-5</v>
      </c>
      <c r="J42" s="10">
        <v>-2.5</v>
      </c>
      <c r="K42" s="10">
        <v>0</v>
      </c>
      <c r="L42" s="10">
        <v>2.5</v>
      </c>
      <c r="M42" s="10">
        <v>5</v>
      </c>
      <c r="N42" s="10">
        <v>7.5</v>
      </c>
      <c r="O42" s="10">
        <v>10</v>
      </c>
      <c r="P42" s="10">
        <v>12.5</v>
      </c>
      <c r="Q42" s="10">
        <v>15</v>
      </c>
      <c r="R42" s="10">
        <v>17.5</v>
      </c>
      <c r="S42" s="10">
        <v>20</v>
      </c>
      <c r="T42" s="10">
        <v>17.5</v>
      </c>
      <c r="U42" s="10">
        <v>15</v>
      </c>
      <c r="V42" s="10">
        <v>12.5</v>
      </c>
      <c r="W42" s="10">
        <v>10</v>
      </c>
      <c r="X42" s="10">
        <v>7.5</v>
      </c>
      <c r="Y42" s="10">
        <v>5</v>
      </c>
      <c r="Z42" s="10">
        <v>2.5</v>
      </c>
      <c r="AA42" s="10">
        <v>0</v>
      </c>
      <c r="AB42" s="10">
        <v>-2.5</v>
      </c>
      <c r="AC42" s="10">
        <v>-5</v>
      </c>
      <c r="AD42" s="10">
        <v>-7.5</v>
      </c>
      <c r="AE42" s="10">
        <v>-10</v>
      </c>
      <c r="AF42" s="10">
        <v>-7.5</v>
      </c>
      <c r="AG42" s="10">
        <v>-5</v>
      </c>
      <c r="AH42" s="10">
        <v>-2.5</v>
      </c>
      <c r="AI42" s="10">
        <v>0</v>
      </c>
      <c r="AJ42" s="10">
        <v>2.5</v>
      </c>
      <c r="AK42" s="10">
        <v>5</v>
      </c>
      <c r="AL42" s="10">
        <v>7.5</v>
      </c>
      <c r="AM42" s="10">
        <v>10</v>
      </c>
      <c r="AN42" s="10">
        <v>12.5</v>
      </c>
      <c r="AO42" s="10">
        <v>15</v>
      </c>
    </row>
    <row r="43" spans="1:51" ht="25.5" hidden="1">
      <c r="A43" s="4"/>
      <c r="B43" s="21" t="s">
        <v>27</v>
      </c>
      <c r="C43" s="10"/>
      <c r="D43" s="10"/>
      <c r="E43" s="10"/>
      <c r="F43" s="10"/>
      <c r="G43" s="10"/>
      <c r="H43" s="10"/>
      <c r="I43" s="10"/>
      <c r="J43" s="10"/>
      <c r="K43" s="10">
        <v>-10</v>
      </c>
      <c r="L43" s="10">
        <v>-7.5</v>
      </c>
      <c r="M43" s="10">
        <v>-5</v>
      </c>
      <c r="N43" s="10">
        <v>-2.5</v>
      </c>
      <c r="O43" s="10">
        <v>0</v>
      </c>
      <c r="P43" s="10">
        <v>2.5</v>
      </c>
      <c r="Q43" s="10">
        <v>5</v>
      </c>
      <c r="R43" s="10">
        <v>7.5</v>
      </c>
      <c r="S43" s="10">
        <v>10</v>
      </c>
      <c r="T43" s="10">
        <v>12.5</v>
      </c>
      <c r="U43" s="10">
        <v>15</v>
      </c>
      <c r="V43" s="10">
        <v>17.5</v>
      </c>
      <c r="W43" s="10">
        <v>20</v>
      </c>
      <c r="X43" s="12">
        <v>17.5</v>
      </c>
      <c r="Y43" s="10">
        <v>15</v>
      </c>
      <c r="Z43" s="12">
        <v>12.5</v>
      </c>
      <c r="AA43" s="10">
        <v>10</v>
      </c>
      <c r="AB43" s="12">
        <v>7.5</v>
      </c>
      <c r="AC43" s="10">
        <v>5</v>
      </c>
      <c r="AD43" s="12">
        <v>2.5</v>
      </c>
      <c r="AE43" s="10">
        <v>0</v>
      </c>
      <c r="AF43" s="12">
        <v>-2.5</v>
      </c>
      <c r="AG43" s="10">
        <v>-5</v>
      </c>
      <c r="AH43" s="12">
        <v>-7.5</v>
      </c>
      <c r="AI43" s="10">
        <v>-10</v>
      </c>
      <c r="AJ43" s="23">
        <v>-7.5</v>
      </c>
      <c r="AK43" s="10">
        <v>-5</v>
      </c>
      <c r="AL43" s="23">
        <v>-2.5</v>
      </c>
      <c r="AM43" s="10">
        <v>0</v>
      </c>
      <c r="AN43" s="23">
        <v>2.5</v>
      </c>
      <c r="AO43" s="10">
        <v>5</v>
      </c>
    </row>
    <row r="44" spans="1:51" ht="25.5">
      <c r="A44" s="4"/>
      <c r="B44" s="21" t="s">
        <v>28</v>
      </c>
      <c r="C44" s="12"/>
      <c r="D44" s="12"/>
      <c r="E44" s="12"/>
      <c r="F44" s="12"/>
      <c r="G44" s="12"/>
      <c r="H44" s="13"/>
      <c r="I44" s="10"/>
      <c r="J44" s="10"/>
      <c r="K44" s="10"/>
      <c r="L44" s="10"/>
      <c r="M44" s="10"/>
      <c r="N44" s="10"/>
      <c r="O44" s="10">
        <v>-10</v>
      </c>
      <c r="P44" s="10">
        <v>-7.5</v>
      </c>
      <c r="Q44" s="10">
        <v>-5</v>
      </c>
      <c r="R44" s="10">
        <v>-2.5</v>
      </c>
      <c r="S44" s="10">
        <v>0</v>
      </c>
      <c r="T44" s="10">
        <v>2.5</v>
      </c>
      <c r="U44" s="10">
        <v>5</v>
      </c>
      <c r="V44" s="10">
        <v>7.5</v>
      </c>
      <c r="W44" s="10">
        <v>10</v>
      </c>
      <c r="X44" s="10">
        <v>12.5</v>
      </c>
      <c r="Y44" s="10">
        <v>15</v>
      </c>
      <c r="Z44" s="10">
        <v>17.5</v>
      </c>
      <c r="AA44" s="10">
        <v>20</v>
      </c>
      <c r="AB44" s="10">
        <v>17.5</v>
      </c>
      <c r="AC44" s="10">
        <v>15</v>
      </c>
      <c r="AD44" s="10">
        <v>12.5</v>
      </c>
      <c r="AE44" s="10">
        <v>10</v>
      </c>
      <c r="AF44" s="10">
        <v>7.5</v>
      </c>
      <c r="AG44" s="10">
        <v>5</v>
      </c>
      <c r="AH44" s="10">
        <v>2.5</v>
      </c>
      <c r="AI44" s="10">
        <v>0</v>
      </c>
      <c r="AJ44" s="10">
        <v>-2.5</v>
      </c>
      <c r="AK44" s="10">
        <v>-5</v>
      </c>
      <c r="AL44" s="10">
        <v>-7.5</v>
      </c>
      <c r="AM44" s="10">
        <v>-10</v>
      </c>
      <c r="AN44" s="12">
        <v>-7.5</v>
      </c>
      <c r="AO44" s="10">
        <v>-5</v>
      </c>
    </row>
    <row r="45" spans="1:51" ht="18" customHeight="1">
      <c r="B45" s="10"/>
      <c r="C45" s="10" t="s">
        <v>1</v>
      </c>
      <c r="D45" s="10" t="s">
        <v>2</v>
      </c>
      <c r="E45" s="10" t="s">
        <v>3</v>
      </c>
      <c r="F45" s="10" t="s">
        <v>4</v>
      </c>
      <c r="G45" s="10" t="s">
        <v>5</v>
      </c>
      <c r="H45" s="10" t="s">
        <v>6</v>
      </c>
      <c r="I45" s="10" t="s">
        <v>7</v>
      </c>
      <c r="J45" s="10" t="s">
        <v>8</v>
      </c>
      <c r="K45" s="10" t="s">
        <v>9</v>
      </c>
      <c r="L45" s="10" t="s">
        <v>10</v>
      </c>
      <c r="M45" s="10" t="s">
        <v>11</v>
      </c>
      <c r="N45" s="10" t="s">
        <v>12</v>
      </c>
      <c r="O45" s="10" t="s">
        <v>13</v>
      </c>
      <c r="P45" s="10" t="s">
        <v>14</v>
      </c>
      <c r="Q45" s="10" t="s">
        <v>15</v>
      </c>
      <c r="R45" s="10" t="s">
        <v>16</v>
      </c>
      <c r="S45" s="10" t="s">
        <v>17</v>
      </c>
      <c r="T45" s="10" t="s">
        <v>18</v>
      </c>
      <c r="U45" s="10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  <c r="Z45" s="10" t="s">
        <v>24</v>
      </c>
      <c r="AA45" s="10" t="s">
        <v>1</v>
      </c>
      <c r="AB45" s="10" t="s">
        <v>25</v>
      </c>
      <c r="AC45" s="10" t="s">
        <v>3</v>
      </c>
      <c r="AD45" s="10" t="s">
        <v>4</v>
      </c>
      <c r="AE45" s="10" t="s">
        <v>5</v>
      </c>
      <c r="AF45" s="10" t="s">
        <v>6</v>
      </c>
      <c r="AG45" s="10" t="s">
        <v>7</v>
      </c>
      <c r="AH45" s="10" t="s">
        <v>8</v>
      </c>
      <c r="AI45" s="10" t="s">
        <v>9</v>
      </c>
      <c r="AJ45" s="10" t="s">
        <v>10</v>
      </c>
      <c r="AK45" s="10" t="s">
        <v>11</v>
      </c>
      <c r="AL45" s="10" t="s">
        <v>12</v>
      </c>
      <c r="AM45" s="10" t="s">
        <v>13</v>
      </c>
      <c r="AN45" s="10" t="s">
        <v>14</v>
      </c>
      <c r="AO45" s="10" t="s">
        <v>15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8" customHeight="1">
      <c r="B46" s="13"/>
      <c r="C46" s="10"/>
      <c r="D46" s="10">
        <f>$C$3</f>
        <v>1967</v>
      </c>
      <c r="E46" s="10">
        <f>D46+2</f>
        <v>1969</v>
      </c>
      <c r="F46" s="10">
        <f>D46+5</f>
        <v>1972</v>
      </c>
      <c r="G46" s="10">
        <f>F46+2</f>
        <v>1974</v>
      </c>
      <c r="H46" s="10">
        <f>F46+5</f>
        <v>1977</v>
      </c>
      <c r="I46" s="10">
        <f>H46+2</f>
        <v>1979</v>
      </c>
      <c r="J46" s="10">
        <f>H46+5</f>
        <v>1982</v>
      </c>
      <c r="K46" s="10">
        <f>J46+2</f>
        <v>1984</v>
      </c>
      <c r="L46" s="10">
        <f>J46+5</f>
        <v>1987</v>
      </c>
      <c r="M46" s="10">
        <f>L46+2</f>
        <v>1989</v>
      </c>
      <c r="N46" s="10">
        <f>L46+5</f>
        <v>1992</v>
      </c>
      <c r="O46" s="10">
        <f>N46+2</f>
        <v>1994</v>
      </c>
      <c r="P46" s="10">
        <f>N46+5</f>
        <v>1997</v>
      </c>
      <c r="Q46" s="10">
        <f>P46+2</f>
        <v>1999</v>
      </c>
      <c r="R46" s="10">
        <f>P46+5</f>
        <v>2002</v>
      </c>
      <c r="S46" s="10">
        <f>R46+2</f>
        <v>2004</v>
      </c>
      <c r="T46" s="10">
        <f>R46+5</f>
        <v>2007</v>
      </c>
      <c r="U46" s="10">
        <f>T46+2</f>
        <v>2009</v>
      </c>
      <c r="V46" s="10">
        <f>T46+5</f>
        <v>2012</v>
      </c>
      <c r="W46" s="10">
        <f>V46+2</f>
        <v>2014</v>
      </c>
      <c r="X46" s="10">
        <f>V46+5</f>
        <v>2017</v>
      </c>
      <c r="Y46" s="10">
        <f>X46+2</f>
        <v>2019</v>
      </c>
      <c r="Z46" s="10">
        <f>X46+5</f>
        <v>2022</v>
      </c>
      <c r="AA46" s="10">
        <f>Z46+2</f>
        <v>2024</v>
      </c>
      <c r="AB46" s="10">
        <f>Z46+5</f>
        <v>2027</v>
      </c>
      <c r="AC46" s="10">
        <f>AB46+2</f>
        <v>2029</v>
      </c>
      <c r="AD46" s="10">
        <f>AB46+5</f>
        <v>2032</v>
      </c>
      <c r="AE46" s="10">
        <f>AD46+2</f>
        <v>2034</v>
      </c>
      <c r="AF46" s="10">
        <f>AD46+5</f>
        <v>2037</v>
      </c>
      <c r="AG46" s="10">
        <f>AF46+2</f>
        <v>2039</v>
      </c>
      <c r="AH46" s="10">
        <f>AF46+5</f>
        <v>2042</v>
      </c>
      <c r="AI46" s="10">
        <f t="shared" ref="AI46:AO46" si="0">AG46+5</f>
        <v>2044</v>
      </c>
      <c r="AJ46" s="10">
        <f t="shared" si="0"/>
        <v>2047</v>
      </c>
      <c r="AK46" s="10">
        <f t="shared" si="0"/>
        <v>2049</v>
      </c>
      <c r="AL46" s="10">
        <f t="shared" si="0"/>
        <v>2052</v>
      </c>
      <c r="AM46" s="10">
        <f t="shared" si="0"/>
        <v>2054</v>
      </c>
      <c r="AN46" s="10">
        <f t="shared" si="0"/>
        <v>2057</v>
      </c>
      <c r="AO46" s="10">
        <f t="shared" si="0"/>
        <v>2059</v>
      </c>
    </row>
    <row r="47" spans="1:51" ht="18" customHeight="1">
      <c r="B47" s="13"/>
      <c r="C47" s="13"/>
      <c r="D47" s="13" t="str">
        <f>$C$6&amp;"세"</f>
        <v>-14세</v>
      </c>
      <c r="E47" s="13" t="str">
        <f t="shared" ref="E47:AO47" si="1">E$46-$C$3+$C$6&amp;"세"</f>
        <v>-12세</v>
      </c>
      <c r="F47" s="13" t="str">
        <f t="shared" si="1"/>
        <v>-9세</v>
      </c>
      <c r="G47" s="13" t="str">
        <f t="shared" si="1"/>
        <v>-7세</v>
      </c>
      <c r="H47" s="13" t="str">
        <f t="shared" si="1"/>
        <v>-4세</v>
      </c>
      <c r="I47" s="13" t="str">
        <f t="shared" si="1"/>
        <v>-2세</v>
      </c>
      <c r="J47" s="13" t="str">
        <f t="shared" si="1"/>
        <v>1세</v>
      </c>
      <c r="K47" s="13" t="str">
        <f t="shared" si="1"/>
        <v>3세</v>
      </c>
      <c r="L47" s="13" t="str">
        <f t="shared" si="1"/>
        <v>6세</v>
      </c>
      <c r="M47" s="13" t="str">
        <f t="shared" si="1"/>
        <v>8세</v>
      </c>
      <c r="N47" s="13" t="str">
        <f t="shared" si="1"/>
        <v>11세</v>
      </c>
      <c r="O47" s="13" t="str">
        <f t="shared" si="1"/>
        <v>13세</v>
      </c>
      <c r="P47" s="13" t="str">
        <f t="shared" si="1"/>
        <v>16세</v>
      </c>
      <c r="Q47" s="13" t="str">
        <f t="shared" si="1"/>
        <v>18세</v>
      </c>
      <c r="R47" s="13" t="str">
        <f t="shared" si="1"/>
        <v>21세</v>
      </c>
      <c r="S47" s="13" t="str">
        <f t="shared" si="1"/>
        <v>23세</v>
      </c>
      <c r="T47" s="13" t="str">
        <f t="shared" si="1"/>
        <v>26세</v>
      </c>
      <c r="U47" s="13" t="str">
        <f t="shared" si="1"/>
        <v>28세</v>
      </c>
      <c r="V47" s="13" t="str">
        <f t="shared" si="1"/>
        <v>31세</v>
      </c>
      <c r="W47" s="13" t="str">
        <f t="shared" si="1"/>
        <v>33세</v>
      </c>
      <c r="X47" s="13" t="str">
        <f t="shared" si="1"/>
        <v>36세</v>
      </c>
      <c r="Y47" s="13" t="str">
        <f t="shared" si="1"/>
        <v>38세</v>
      </c>
      <c r="Z47" s="13" t="str">
        <f t="shared" si="1"/>
        <v>41세</v>
      </c>
      <c r="AA47" s="13" t="str">
        <f t="shared" si="1"/>
        <v>43세</v>
      </c>
      <c r="AB47" s="13" t="str">
        <f t="shared" si="1"/>
        <v>46세</v>
      </c>
      <c r="AC47" s="13" t="str">
        <f t="shared" si="1"/>
        <v>48세</v>
      </c>
      <c r="AD47" s="13" t="str">
        <f t="shared" si="1"/>
        <v>51세</v>
      </c>
      <c r="AE47" s="13" t="str">
        <f t="shared" si="1"/>
        <v>53세</v>
      </c>
      <c r="AF47" s="13" t="str">
        <f t="shared" si="1"/>
        <v>56세</v>
      </c>
      <c r="AG47" s="13" t="str">
        <f t="shared" si="1"/>
        <v>58세</v>
      </c>
      <c r="AH47" s="13" t="str">
        <f t="shared" si="1"/>
        <v>61세</v>
      </c>
      <c r="AI47" s="13" t="str">
        <f t="shared" si="1"/>
        <v>63세</v>
      </c>
      <c r="AJ47" s="13" t="str">
        <f t="shared" si="1"/>
        <v>66세</v>
      </c>
      <c r="AK47" s="13" t="str">
        <f t="shared" si="1"/>
        <v>68세</v>
      </c>
      <c r="AL47" s="13" t="str">
        <f t="shared" si="1"/>
        <v>71세</v>
      </c>
      <c r="AM47" s="13" t="str">
        <f t="shared" si="1"/>
        <v>73세</v>
      </c>
      <c r="AN47" s="13" t="str">
        <f t="shared" si="1"/>
        <v>76세</v>
      </c>
      <c r="AO47" s="13" t="str">
        <f t="shared" si="1"/>
        <v>78세</v>
      </c>
    </row>
  </sheetData>
  <mergeCells count="1">
    <mergeCell ref="A1:A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6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Y47"/>
  <sheetViews>
    <sheetView topLeftCell="A7" zoomScale="70" zoomScaleNormal="70" workbookViewId="0">
      <selection activeCell="C5" sqref="C5"/>
    </sheetView>
  </sheetViews>
  <sheetFormatPr defaultColWidth="9" defaultRowHeight="18" customHeight="1"/>
  <cols>
    <col min="1" max="1" width="8.83203125" style="3" customWidth="1"/>
    <col min="2" max="2" width="36.5" style="3" bestFit="1" customWidth="1"/>
    <col min="3" max="3" width="19.33203125" style="3" customWidth="1"/>
    <col min="4" max="32" width="5.08203125" style="3" customWidth="1"/>
    <col min="33" max="34" width="5.08203125" style="4" customWidth="1"/>
    <col min="35" max="16384" width="9" style="4"/>
  </cols>
  <sheetData>
    <row r="1" spans="1:34" ht="38.25" customHeight="1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ht="18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ht="18" customHeight="1">
      <c r="B3" s="14" t="s">
        <v>31</v>
      </c>
      <c r="C3" s="15">
        <v>1937</v>
      </c>
    </row>
    <row r="4" spans="1:34" ht="18" customHeight="1">
      <c r="B4" s="16" t="s">
        <v>32</v>
      </c>
      <c r="C4" s="17">
        <v>10</v>
      </c>
    </row>
    <row r="5" spans="1:34" ht="18" customHeight="1">
      <c r="B5" s="16" t="s">
        <v>0</v>
      </c>
      <c r="C5" s="18" t="s">
        <v>34</v>
      </c>
    </row>
    <row r="6" spans="1:34" ht="18" customHeight="1" thickBot="1">
      <c r="B6" s="19" t="s">
        <v>33</v>
      </c>
      <c r="C6" s="24">
        <v>-17</v>
      </c>
    </row>
    <row r="7" spans="1:34" ht="18" customHeight="1">
      <c r="G7" s="6"/>
      <c r="H7" s="5"/>
      <c r="I7" s="5"/>
      <c r="J7" s="5"/>
      <c r="K7" s="5"/>
      <c r="N7" s="6"/>
      <c r="O7" s="5"/>
      <c r="P7" s="5"/>
      <c r="Q7" s="5"/>
      <c r="R7" s="5"/>
      <c r="V7" s="6"/>
      <c r="W7" s="5"/>
      <c r="X7" s="5"/>
      <c r="Y7" s="5"/>
      <c r="Z7" s="5"/>
    </row>
    <row r="8" spans="1:34" ht="18" customHeight="1">
      <c r="G8" s="7"/>
    </row>
    <row r="9" spans="1:34" ht="18" customHeight="1">
      <c r="G9" s="8"/>
      <c r="N9" s="8"/>
      <c r="O9" s="8"/>
      <c r="P9" s="8"/>
      <c r="Q9" s="8"/>
      <c r="R9" s="8"/>
      <c r="V9" s="8"/>
    </row>
    <row r="10" spans="1:34" ht="18" customHeight="1">
      <c r="N10" s="8"/>
      <c r="O10" s="8"/>
      <c r="P10" s="8"/>
      <c r="Q10" s="8"/>
      <c r="R10" s="8"/>
    </row>
    <row r="13" spans="1:34" ht="18" customHeight="1">
      <c r="B13" s="1"/>
      <c r="C13" s="2"/>
      <c r="D13" s="2"/>
      <c r="E13" s="2"/>
      <c r="F13" s="2"/>
    </row>
    <row r="33" spans="1:51" s="9" customFormat="1" ht="18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4"/>
      <c r="AK33" s="4"/>
    </row>
    <row r="40" spans="1:51" ht="25.5">
      <c r="B40" s="20" t="s">
        <v>35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2"/>
      <c r="AJ40" s="12"/>
      <c r="AK40" s="12"/>
      <c r="AL40" s="12"/>
      <c r="AM40" s="12"/>
      <c r="AN40" s="12"/>
      <c r="AO40" s="12"/>
    </row>
    <row r="41" spans="1:51" ht="25.5">
      <c r="A41" s="4"/>
      <c r="B41" s="21" t="s">
        <v>26</v>
      </c>
      <c r="C41" s="10">
        <v>-10</v>
      </c>
      <c r="D41" s="10">
        <v>-7.5</v>
      </c>
      <c r="E41" s="10">
        <v>-5</v>
      </c>
      <c r="F41" s="10">
        <v>-2.5</v>
      </c>
      <c r="G41" s="10">
        <v>0</v>
      </c>
      <c r="H41" s="10">
        <v>2.5</v>
      </c>
      <c r="I41" s="10">
        <v>5</v>
      </c>
      <c r="J41" s="10">
        <v>7.5</v>
      </c>
      <c r="K41" s="10">
        <v>10</v>
      </c>
      <c r="L41" s="10">
        <v>12.5</v>
      </c>
      <c r="M41" s="10">
        <v>15</v>
      </c>
      <c r="N41" s="10">
        <v>17.5</v>
      </c>
      <c r="O41" s="10">
        <v>20</v>
      </c>
      <c r="P41" s="11">
        <v>17.5</v>
      </c>
      <c r="Q41" s="10">
        <v>15</v>
      </c>
      <c r="R41" s="11">
        <v>12.5</v>
      </c>
      <c r="S41" s="10">
        <v>10</v>
      </c>
      <c r="T41" s="11">
        <v>7.5</v>
      </c>
      <c r="U41" s="10">
        <v>5</v>
      </c>
      <c r="V41" s="11">
        <v>2.5</v>
      </c>
      <c r="W41" s="10">
        <v>0</v>
      </c>
      <c r="X41" s="11">
        <v>-2.5</v>
      </c>
      <c r="Y41" s="10">
        <v>-5</v>
      </c>
      <c r="Z41" s="11">
        <v>-7.5</v>
      </c>
      <c r="AA41" s="10">
        <v>-10</v>
      </c>
      <c r="AB41" s="10">
        <v>-7.5</v>
      </c>
      <c r="AC41" s="10">
        <v>-5</v>
      </c>
      <c r="AD41" s="10">
        <v>-2.5</v>
      </c>
      <c r="AE41" s="10">
        <v>0</v>
      </c>
      <c r="AF41" s="10">
        <v>2.5</v>
      </c>
      <c r="AG41" s="12">
        <v>5</v>
      </c>
      <c r="AH41" s="10">
        <v>7.5</v>
      </c>
      <c r="AI41" s="12">
        <v>10</v>
      </c>
      <c r="AJ41" s="10">
        <v>12.5</v>
      </c>
      <c r="AK41" s="12">
        <v>15</v>
      </c>
      <c r="AL41" s="10">
        <v>17.5</v>
      </c>
      <c r="AM41" s="12">
        <v>20</v>
      </c>
      <c r="AN41" s="12">
        <v>17.5</v>
      </c>
      <c r="AO41" s="12">
        <v>15</v>
      </c>
    </row>
    <row r="42" spans="1:51" ht="21.75" customHeight="1">
      <c r="A42" s="4"/>
      <c r="B42" s="21" t="s">
        <v>30</v>
      </c>
      <c r="C42" s="10"/>
      <c r="D42" s="10"/>
      <c r="E42" s="10"/>
      <c r="F42" s="10"/>
      <c r="G42" s="10">
        <v>-10</v>
      </c>
      <c r="H42" s="10">
        <v>-7.5</v>
      </c>
      <c r="I42" s="10">
        <v>-5</v>
      </c>
      <c r="J42" s="10">
        <v>-2.5</v>
      </c>
      <c r="K42" s="10">
        <v>0</v>
      </c>
      <c r="L42" s="10">
        <v>2.5</v>
      </c>
      <c r="M42" s="10">
        <v>5</v>
      </c>
      <c r="N42" s="10">
        <v>7.5</v>
      </c>
      <c r="O42" s="10">
        <v>10</v>
      </c>
      <c r="P42" s="10">
        <v>12.5</v>
      </c>
      <c r="Q42" s="10">
        <v>15</v>
      </c>
      <c r="R42" s="10">
        <v>17.5</v>
      </c>
      <c r="S42" s="10">
        <v>20</v>
      </c>
      <c r="T42" s="10">
        <v>17.5</v>
      </c>
      <c r="U42" s="10">
        <v>15</v>
      </c>
      <c r="V42" s="10">
        <v>12.5</v>
      </c>
      <c r="W42" s="10">
        <v>10</v>
      </c>
      <c r="X42" s="10">
        <v>7.5</v>
      </c>
      <c r="Y42" s="10">
        <v>5</v>
      </c>
      <c r="Z42" s="10">
        <v>2.5</v>
      </c>
      <c r="AA42" s="10">
        <v>0</v>
      </c>
      <c r="AB42" s="10">
        <v>-2.5</v>
      </c>
      <c r="AC42" s="10">
        <v>-5</v>
      </c>
      <c r="AD42" s="10">
        <v>-7.5</v>
      </c>
      <c r="AE42" s="10">
        <v>-10</v>
      </c>
      <c r="AF42" s="10">
        <v>-7.5</v>
      </c>
      <c r="AG42" s="10">
        <v>-5</v>
      </c>
      <c r="AH42" s="10">
        <v>-2.5</v>
      </c>
      <c r="AI42" s="10">
        <v>0</v>
      </c>
      <c r="AJ42" s="10">
        <v>2.5</v>
      </c>
      <c r="AK42" s="10">
        <v>5</v>
      </c>
      <c r="AL42" s="10">
        <v>7.5</v>
      </c>
      <c r="AM42" s="10">
        <v>10</v>
      </c>
      <c r="AN42" s="10">
        <v>12.5</v>
      </c>
      <c r="AO42" s="10">
        <v>15</v>
      </c>
    </row>
    <row r="43" spans="1:51" ht="25.5">
      <c r="A43" s="4"/>
      <c r="B43" s="21" t="s">
        <v>27</v>
      </c>
      <c r="C43" s="10"/>
      <c r="D43" s="10"/>
      <c r="E43" s="10"/>
      <c r="F43" s="10"/>
      <c r="G43" s="10"/>
      <c r="H43" s="10"/>
      <c r="I43" s="10"/>
      <c r="J43" s="10"/>
      <c r="K43" s="10">
        <v>-10</v>
      </c>
      <c r="L43" s="10">
        <v>-7.5</v>
      </c>
      <c r="M43" s="10">
        <v>-5</v>
      </c>
      <c r="N43" s="10">
        <v>-2.5</v>
      </c>
      <c r="O43" s="10">
        <v>0</v>
      </c>
      <c r="P43" s="10">
        <v>2.5</v>
      </c>
      <c r="Q43" s="10">
        <v>5</v>
      </c>
      <c r="R43" s="10">
        <v>7.5</v>
      </c>
      <c r="S43" s="10">
        <v>10</v>
      </c>
      <c r="T43" s="10">
        <v>12.5</v>
      </c>
      <c r="U43" s="10">
        <v>15</v>
      </c>
      <c r="V43" s="10">
        <v>17.5</v>
      </c>
      <c r="W43" s="10">
        <v>20</v>
      </c>
      <c r="X43" s="12">
        <v>17.5</v>
      </c>
      <c r="Y43" s="10">
        <v>15</v>
      </c>
      <c r="Z43" s="12">
        <v>12.5</v>
      </c>
      <c r="AA43" s="10">
        <v>10</v>
      </c>
      <c r="AB43" s="12">
        <v>7.5</v>
      </c>
      <c r="AC43" s="10">
        <v>5</v>
      </c>
      <c r="AD43" s="12">
        <v>2.5</v>
      </c>
      <c r="AE43" s="10">
        <v>0</v>
      </c>
      <c r="AF43" s="12">
        <v>-2.5</v>
      </c>
      <c r="AG43" s="10">
        <v>-5</v>
      </c>
      <c r="AH43" s="12">
        <v>-7.5</v>
      </c>
      <c r="AI43" s="10">
        <v>-10</v>
      </c>
      <c r="AJ43" s="23">
        <v>-7.5</v>
      </c>
      <c r="AK43" s="10">
        <v>-5</v>
      </c>
      <c r="AL43" s="23">
        <v>-2.5</v>
      </c>
      <c r="AM43" s="10">
        <v>0</v>
      </c>
      <c r="AN43" s="23">
        <v>2.5</v>
      </c>
      <c r="AO43" s="10">
        <v>5</v>
      </c>
    </row>
    <row r="44" spans="1:51" ht="25.5">
      <c r="A44" s="4"/>
      <c r="B44" s="21" t="s">
        <v>28</v>
      </c>
      <c r="C44" s="12"/>
      <c r="D44" s="12"/>
      <c r="E44" s="12"/>
      <c r="F44" s="12"/>
      <c r="G44" s="12"/>
      <c r="H44" s="13"/>
      <c r="I44" s="10"/>
      <c r="J44" s="10"/>
      <c r="K44" s="10"/>
      <c r="L44" s="10"/>
      <c r="M44" s="10"/>
      <c r="N44" s="10"/>
      <c r="O44" s="10">
        <v>-10</v>
      </c>
      <c r="P44" s="10">
        <v>-7.5</v>
      </c>
      <c r="Q44" s="10">
        <v>-5</v>
      </c>
      <c r="R44" s="10">
        <v>-2.5</v>
      </c>
      <c r="S44" s="10">
        <v>0</v>
      </c>
      <c r="T44" s="10">
        <v>2.5</v>
      </c>
      <c r="U44" s="10">
        <v>5</v>
      </c>
      <c r="V44" s="10">
        <v>7.5</v>
      </c>
      <c r="W44" s="10">
        <v>10</v>
      </c>
      <c r="X44" s="10">
        <v>12.5</v>
      </c>
      <c r="Y44" s="10">
        <v>15</v>
      </c>
      <c r="Z44" s="10">
        <v>17.5</v>
      </c>
      <c r="AA44" s="10">
        <v>20</v>
      </c>
      <c r="AB44" s="10">
        <v>17.5</v>
      </c>
      <c r="AC44" s="10">
        <v>15</v>
      </c>
      <c r="AD44" s="10">
        <v>12.5</v>
      </c>
      <c r="AE44" s="10">
        <v>10</v>
      </c>
      <c r="AF44" s="10">
        <v>7.5</v>
      </c>
      <c r="AG44" s="10">
        <v>5</v>
      </c>
      <c r="AH44" s="10">
        <v>2.5</v>
      </c>
      <c r="AI44" s="10">
        <v>0</v>
      </c>
      <c r="AJ44" s="10">
        <v>-2.5</v>
      </c>
      <c r="AK44" s="10">
        <v>-5</v>
      </c>
      <c r="AL44" s="10">
        <v>-7.5</v>
      </c>
      <c r="AM44" s="10">
        <v>-10</v>
      </c>
      <c r="AN44" s="12">
        <v>-7.5</v>
      </c>
      <c r="AO44" s="10">
        <v>-5</v>
      </c>
    </row>
    <row r="45" spans="1:51" ht="18" customHeight="1">
      <c r="B45" s="10"/>
      <c r="C45" s="10" t="s">
        <v>1</v>
      </c>
      <c r="D45" s="10" t="s">
        <v>2</v>
      </c>
      <c r="E45" s="10" t="s">
        <v>3</v>
      </c>
      <c r="F45" s="10" t="s">
        <v>4</v>
      </c>
      <c r="G45" s="10" t="s">
        <v>5</v>
      </c>
      <c r="H45" s="10" t="s">
        <v>6</v>
      </c>
      <c r="I45" s="10" t="s">
        <v>7</v>
      </c>
      <c r="J45" s="10" t="s">
        <v>8</v>
      </c>
      <c r="K45" s="10" t="s">
        <v>9</v>
      </c>
      <c r="L45" s="10" t="s">
        <v>10</v>
      </c>
      <c r="M45" s="10" t="s">
        <v>11</v>
      </c>
      <c r="N45" s="10" t="s">
        <v>12</v>
      </c>
      <c r="O45" s="10" t="s">
        <v>13</v>
      </c>
      <c r="P45" s="10" t="s">
        <v>14</v>
      </c>
      <c r="Q45" s="10" t="s">
        <v>15</v>
      </c>
      <c r="R45" s="10" t="s">
        <v>16</v>
      </c>
      <c r="S45" s="10" t="s">
        <v>17</v>
      </c>
      <c r="T45" s="10" t="s">
        <v>18</v>
      </c>
      <c r="U45" s="10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  <c r="Z45" s="10" t="s">
        <v>24</v>
      </c>
      <c r="AA45" s="10" t="s">
        <v>1</v>
      </c>
      <c r="AB45" s="10" t="s">
        <v>25</v>
      </c>
      <c r="AC45" s="10" t="s">
        <v>3</v>
      </c>
      <c r="AD45" s="10" t="s">
        <v>4</v>
      </c>
      <c r="AE45" s="10" t="s">
        <v>5</v>
      </c>
      <c r="AF45" s="10" t="s">
        <v>6</v>
      </c>
      <c r="AG45" s="10" t="s">
        <v>7</v>
      </c>
      <c r="AH45" s="10" t="s">
        <v>8</v>
      </c>
      <c r="AI45" s="10" t="s">
        <v>9</v>
      </c>
      <c r="AJ45" s="10" t="s">
        <v>10</v>
      </c>
      <c r="AK45" s="10" t="s">
        <v>11</v>
      </c>
      <c r="AL45" s="10" t="s">
        <v>12</v>
      </c>
      <c r="AM45" s="10" t="s">
        <v>13</v>
      </c>
      <c r="AN45" s="10" t="s">
        <v>14</v>
      </c>
      <c r="AO45" s="10" t="s">
        <v>15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8" customHeight="1">
      <c r="B46" s="13"/>
      <c r="C46" s="10"/>
      <c r="D46" s="10">
        <f>$C$3</f>
        <v>1937</v>
      </c>
      <c r="E46" s="10">
        <f>D46+2</f>
        <v>1939</v>
      </c>
      <c r="F46" s="10">
        <f>D46+5</f>
        <v>1942</v>
      </c>
      <c r="G46" s="10">
        <f>F46+2</f>
        <v>1944</v>
      </c>
      <c r="H46" s="10">
        <f>F46+5</f>
        <v>1947</v>
      </c>
      <c r="I46" s="10">
        <f>H46+2</f>
        <v>1949</v>
      </c>
      <c r="J46" s="10">
        <f>H46+5</f>
        <v>1952</v>
      </c>
      <c r="K46" s="10">
        <f>J46+2</f>
        <v>1954</v>
      </c>
      <c r="L46" s="10">
        <f>J46+5</f>
        <v>1957</v>
      </c>
      <c r="M46" s="10">
        <f>L46+2</f>
        <v>1959</v>
      </c>
      <c r="N46" s="10">
        <f>L46+5</f>
        <v>1962</v>
      </c>
      <c r="O46" s="10">
        <f>N46+2</f>
        <v>1964</v>
      </c>
      <c r="P46" s="10">
        <f>N46+5</f>
        <v>1967</v>
      </c>
      <c r="Q46" s="10">
        <f>P46+2</f>
        <v>1969</v>
      </c>
      <c r="R46" s="10">
        <f>P46+5</f>
        <v>1972</v>
      </c>
      <c r="S46" s="10">
        <f>R46+2</f>
        <v>1974</v>
      </c>
      <c r="T46" s="10">
        <f>R46+5</f>
        <v>1977</v>
      </c>
      <c r="U46" s="10">
        <f>T46+2</f>
        <v>1979</v>
      </c>
      <c r="V46" s="10">
        <f>T46+5</f>
        <v>1982</v>
      </c>
      <c r="W46" s="10">
        <f>V46+2</f>
        <v>1984</v>
      </c>
      <c r="X46" s="10">
        <f>V46+5</f>
        <v>1987</v>
      </c>
      <c r="Y46" s="10">
        <f>X46+2</f>
        <v>1989</v>
      </c>
      <c r="Z46" s="10">
        <f>X46+5</f>
        <v>1992</v>
      </c>
      <c r="AA46" s="10">
        <f>Z46+2</f>
        <v>1994</v>
      </c>
      <c r="AB46" s="10">
        <f>Z46+5</f>
        <v>1997</v>
      </c>
      <c r="AC46" s="10">
        <f>AB46+2</f>
        <v>1999</v>
      </c>
      <c r="AD46" s="10">
        <f>AB46+5</f>
        <v>2002</v>
      </c>
      <c r="AE46" s="10">
        <f>AD46+2</f>
        <v>2004</v>
      </c>
      <c r="AF46" s="10">
        <f>AD46+5</f>
        <v>2007</v>
      </c>
      <c r="AG46" s="10">
        <f>AF46+2</f>
        <v>2009</v>
      </c>
      <c r="AH46" s="10">
        <f>AF46+5</f>
        <v>2012</v>
      </c>
      <c r="AI46" s="10">
        <f t="shared" ref="AI46:AO46" si="0">AG46+5</f>
        <v>2014</v>
      </c>
      <c r="AJ46" s="10">
        <f t="shared" si="0"/>
        <v>2017</v>
      </c>
      <c r="AK46" s="10">
        <f t="shared" si="0"/>
        <v>2019</v>
      </c>
      <c r="AL46" s="10">
        <f t="shared" si="0"/>
        <v>2022</v>
      </c>
      <c r="AM46" s="10">
        <f t="shared" si="0"/>
        <v>2024</v>
      </c>
      <c r="AN46" s="10">
        <f t="shared" si="0"/>
        <v>2027</v>
      </c>
      <c r="AO46" s="10">
        <f t="shared" si="0"/>
        <v>2029</v>
      </c>
    </row>
    <row r="47" spans="1:51" ht="18" customHeight="1">
      <c r="B47" s="13"/>
      <c r="C47" s="13"/>
      <c r="D47" s="13" t="str">
        <f>$C$6&amp;"세"</f>
        <v>-17세</v>
      </c>
      <c r="E47" s="13" t="str">
        <f t="shared" ref="E47:AO47" si="1">E$46-$C$3+$C$6&amp;"세"</f>
        <v>-15세</v>
      </c>
      <c r="F47" s="13" t="str">
        <f t="shared" si="1"/>
        <v>-12세</v>
      </c>
      <c r="G47" s="13" t="str">
        <f t="shared" si="1"/>
        <v>-10세</v>
      </c>
      <c r="H47" s="13" t="str">
        <f t="shared" si="1"/>
        <v>-7세</v>
      </c>
      <c r="I47" s="13" t="str">
        <f t="shared" si="1"/>
        <v>-5세</v>
      </c>
      <c r="J47" s="13" t="str">
        <f t="shared" si="1"/>
        <v>-2세</v>
      </c>
      <c r="K47" s="13" t="str">
        <f t="shared" si="1"/>
        <v>0세</v>
      </c>
      <c r="L47" s="13" t="str">
        <f t="shared" si="1"/>
        <v>3세</v>
      </c>
      <c r="M47" s="13" t="str">
        <f t="shared" si="1"/>
        <v>5세</v>
      </c>
      <c r="N47" s="13" t="str">
        <f t="shared" si="1"/>
        <v>8세</v>
      </c>
      <c r="O47" s="13" t="str">
        <f t="shared" si="1"/>
        <v>10세</v>
      </c>
      <c r="P47" s="13" t="str">
        <f t="shared" si="1"/>
        <v>13세</v>
      </c>
      <c r="Q47" s="13" t="str">
        <f t="shared" si="1"/>
        <v>15세</v>
      </c>
      <c r="R47" s="13" t="str">
        <f t="shared" si="1"/>
        <v>18세</v>
      </c>
      <c r="S47" s="13" t="str">
        <f t="shared" si="1"/>
        <v>20세</v>
      </c>
      <c r="T47" s="13" t="str">
        <f t="shared" si="1"/>
        <v>23세</v>
      </c>
      <c r="U47" s="13" t="str">
        <f t="shared" si="1"/>
        <v>25세</v>
      </c>
      <c r="V47" s="13" t="str">
        <f t="shared" si="1"/>
        <v>28세</v>
      </c>
      <c r="W47" s="13" t="str">
        <f t="shared" si="1"/>
        <v>30세</v>
      </c>
      <c r="X47" s="13" t="str">
        <f t="shared" si="1"/>
        <v>33세</v>
      </c>
      <c r="Y47" s="13" t="str">
        <f t="shared" si="1"/>
        <v>35세</v>
      </c>
      <c r="Z47" s="13" t="str">
        <f t="shared" si="1"/>
        <v>38세</v>
      </c>
      <c r="AA47" s="13" t="str">
        <f t="shared" si="1"/>
        <v>40세</v>
      </c>
      <c r="AB47" s="13" t="str">
        <f t="shared" si="1"/>
        <v>43세</v>
      </c>
      <c r="AC47" s="13" t="str">
        <f t="shared" si="1"/>
        <v>45세</v>
      </c>
      <c r="AD47" s="13" t="str">
        <f t="shared" si="1"/>
        <v>48세</v>
      </c>
      <c r="AE47" s="13" t="str">
        <f t="shared" si="1"/>
        <v>50세</v>
      </c>
      <c r="AF47" s="13" t="str">
        <f t="shared" si="1"/>
        <v>53세</v>
      </c>
      <c r="AG47" s="13" t="str">
        <f t="shared" si="1"/>
        <v>55세</v>
      </c>
      <c r="AH47" s="13" t="str">
        <f t="shared" si="1"/>
        <v>58세</v>
      </c>
      <c r="AI47" s="13" t="str">
        <f t="shared" si="1"/>
        <v>60세</v>
      </c>
      <c r="AJ47" s="13" t="str">
        <f t="shared" si="1"/>
        <v>63세</v>
      </c>
      <c r="AK47" s="13" t="str">
        <f t="shared" si="1"/>
        <v>65세</v>
      </c>
      <c r="AL47" s="13" t="str">
        <f t="shared" si="1"/>
        <v>68세</v>
      </c>
      <c r="AM47" s="13" t="str">
        <f t="shared" si="1"/>
        <v>70세</v>
      </c>
      <c r="AN47" s="13" t="str">
        <f t="shared" si="1"/>
        <v>73세</v>
      </c>
      <c r="AO47" s="13" t="str">
        <f t="shared" si="1"/>
        <v>75세</v>
      </c>
    </row>
  </sheetData>
  <mergeCells count="1">
    <mergeCell ref="A1:A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3" fitToWidth="0" orientation="landscape" r:id="rId1"/>
  <ignoredErrors>
    <ignoredError sqref="F46:AF4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심리흐름주기</vt:lpstr>
      <vt:lpstr>심리제물흐름주기</vt:lpstr>
      <vt:lpstr>심리명예</vt:lpstr>
      <vt:lpstr>흐름주기</vt:lpstr>
    </vt:vector>
  </TitlesOfParts>
  <Company>Organization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User's Full Name</dc:creator>
  <cp:lastModifiedBy>함서현</cp:lastModifiedBy>
  <cp:lastPrinted>2022-12-06T07:48:54Z</cp:lastPrinted>
  <dcterms:created xsi:type="dcterms:W3CDTF">2012-03-05T09:41:30Z</dcterms:created>
  <dcterms:modified xsi:type="dcterms:W3CDTF">2026-10-01T17:57:31Z</dcterms:modified>
</cp:coreProperties>
</file>